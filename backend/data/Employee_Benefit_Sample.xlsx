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richai\program\Employee_Benefit_Calculation\"/>
    </mc:Choice>
  </mc:AlternateContent>
  <xr:revisionPtr revIDLastSave="0" documentId="13_ncr:1_{C4925D35-CDF1-4F0E-9634-9B1571E056E5}" xr6:coauthVersionLast="47" xr6:coauthVersionMax="47" xr10:uidLastSave="{00000000-0000-0000-0000-000000000000}"/>
  <bookViews>
    <workbookView xWindow="-110" yWindow="-110" windowWidth="19420" windowHeight="11500" xr2:uid="{7750C647-E942-4770-A723-F9258ACF3C9B}"/>
  </bookViews>
  <sheets>
    <sheet name="ข้อมูลพนักงาน" sheetId="1" r:id="rId1"/>
    <sheet name="ผลประโยช์นพนักงาน" sheetId="2" r:id="rId2"/>
    <sheet name="สูตร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3" l="1"/>
  <c r="A8" i="3"/>
  <c r="A7" i="3"/>
  <c r="A6" i="3"/>
  <c r="L128" i="2" l="1"/>
  <c r="J128" i="2"/>
  <c r="I128" i="2"/>
  <c r="K128" i="2" s="1"/>
  <c r="L127" i="2"/>
  <c r="J127" i="2"/>
  <c r="I127" i="2"/>
  <c r="K127" i="2" s="1"/>
  <c r="L126" i="2"/>
  <c r="J126" i="2"/>
  <c r="M126" i="2" s="1"/>
  <c r="N126" i="2" s="1"/>
  <c r="O126" i="2" s="1"/>
  <c r="I126" i="2"/>
  <c r="K126" i="2" s="1"/>
  <c r="L125" i="2"/>
  <c r="J125" i="2"/>
  <c r="I125" i="2"/>
  <c r="K125" i="2" s="1"/>
  <c r="P124" i="2"/>
  <c r="M124" i="2"/>
  <c r="N124" i="2" s="1"/>
  <c r="O124" i="2" s="1"/>
  <c r="L124" i="2"/>
  <c r="J124" i="2"/>
  <c r="I124" i="2"/>
  <c r="K124" i="2" s="1"/>
  <c r="L123" i="2"/>
  <c r="J123" i="2"/>
  <c r="I123" i="2"/>
  <c r="K123" i="2" s="1"/>
  <c r="L122" i="2"/>
  <c r="J122" i="2"/>
  <c r="P122" i="2" s="1"/>
  <c r="I122" i="2"/>
  <c r="K122" i="2" s="1"/>
  <c r="L121" i="2"/>
  <c r="J121" i="2"/>
  <c r="I121" i="2"/>
  <c r="K121" i="2" s="1"/>
  <c r="L120" i="2"/>
  <c r="J120" i="2"/>
  <c r="I120" i="2"/>
  <c r="K120" i="2" s="1"/>
  <c r="L119" i="2"/>
  <c r="J119" i="2"/>
  <c r="P119" i="2" s="1"/>
  <c r="I119" i="2"/>
  <c r="K119" i="2" s="1"/>
  <c r="L118" i="2"/>
  <c r="J118" i="2"/>
  <c r="M118" i="2" s="1"/>
  <c r="N118" i="2" s="1"/>
  <c r="I118" i="2"/>
  <c r="K118" i="2" s="1"/>
  <c r="P117" i="2"/>
  <c r="L117" i="2"/>
  <c r="J117" i="2"/>
  <c r="M117" i="2" s="1"/>
  <c r="N117" i="2" s="1"/>
  <c r="O117" i="2" s="1"/>
  <c r="I117" i="2"/>
  <c r="K117" i="2" s="1"/>
  <c r="L116" i="2"/>
  <c r="J116" i="2"/>
  <c r="P116" i="2" s="1"/>
  <c r="I116" i="2"/>
  <c r="K116" i="2" s="1"/>
  <c r="L115" i="2"/>
  <c r="J115" i="2"/>
  <c r="I115" i="2"/>
  <c r="K115" i="2" s="1"/>
  <c r="P114" i="2"/>
  <c r="M114" i="2"/>
  <c r="N114" i="2" s="1"/>
  <c r="L114" i="2"/>
  <c r="J114" i="2"/>
  <c r="I114" i="2"/>
  <c r="K114" i="2" s="1"/>
  <c r="L113" i="2"/>
  <c r="J113" i="2"/>
  <c r="P113" i="2" s="1"/>
  <c r="I113" i="2"/>
  <c r="K113" i="2" s="1"/>
  <c r="L112" i="2"/>
  <c r="J112" i="2"/>
  <c r="I112" i="2"/>
  <c r="K112" i="2" s="1"/>
  <c r="L111" i="2"/>
  <c r="J111" i="2"/>
  <c r="I111" i="2"/>
  <c r="K111" i="2" s="1"/>
  <c r="L110" i="2"/>
  <c r="J110" i="2"/>
  <c r="M110" i="2" s="1"/>
  <c r="N110" i="2" s="1"/>
  <c r="I110" i="2"/>
  <c r="K110" i="2" s="1"/>
  <c r="L109" i="2"/>
  <c r="J109" i="2"/>
  <c r="P109" i="2" s="1"/>
  <c r="I109" i="2"/>
  <c r="K109" i="2" s="1"/>
  <c r="L108" i="2"/>
  <c r="J108" i="2"/>
  <c r="I108" i="2"/>
  <c r="K108" i="2" s="1"/>
  <c r="L107" i="2"/>
  <c r="J107" i="2"/>
  <c r="I107" i="2"/>
  <c r="K107" i="2" s="1"/>
  <c r="L106" i="2"/>
  <c r="J106" i="2"/>
  <c r="P106" i="2" s="1"/>
  <c r="I106" i="2"/>
  <c r="K106" i="2" s="1"/>
  <c r="L105" i="2"/>
  <c r="J105" i="2"/>
  <c r="P105" i="2" s="1"/>
  <c r="I105" i="2"/>
  <c r="K105" i="2" s="1"/>
  <c r="L104" i="2"/>
  <c r="J104" i="2"/>
  <c r="I104" i="2"/>
  <c r="K104" i="2" s="1"/>
  <c r="P103" i="2"/>
  <c r="L103" i="2"/>
  <c r="J103" i="2"/>
  <c r="M103" i="2" s="1"/>
  <c r="N103" i="2" s="1"/>
  <c r="I103" i="2"/>
  <c r="K103" i="2" s="1"/>
  <c r="L102" i="2"/>
  <c r="J102" i="2"/>
  <c r="M102" i="2" s="1"/>
  <c r="N102" i="2" s="1"/>
  <c r="I102" i="2"/>
  <c r="K102" i="2" s="1"/>
  <c r="L101" i="2"/>
  <c r="J101" i="2"/>
  <c r="P101" i="2" s="1"/>
  <c r="I101" i="2"/>
  <c r="K101" i="2" s="1"/>
  <c r="L100" i="2"/>
  <c r="J100" i="2"/>
  <c r="P100" i="2" s="1"/>
  <c r="I100" i="2"/>
  <c r="K100" i="2" s="1"/>
  <c r="L99" i="2"/>
  <c r="J99" i="2"/>
  <c r="I99" i="2"/>
  <c r="K99" i="2" s="1"/>
  <c r="L98" i="2"/>
  <c r="J98" i="2"/>
  <c r="I98" i="2"/>
  <c r="K98" i="2" s="1"/>
  <c r="L97" i="2"/>
  <c r="J97" i="2"/>
  <c r="I97" i="2"/>
  <c r="K97" i="2" s="1"/>
  <c r="L96" i="2"/>
  <c r="J96" i="2"/>
  <c r="I96" i="2"/>
  <c r="K96" i="2" s="1"/>
  <c r="L95" i="2"/>
  <c r="J95" i="2"/>
  <c r="P95" i="2" s="1"/>
  <c r="I95" i="2"/>
  <c r="K95" i="2" s="1"/>
  <c r="L94" i="2"/>
  <c r="J94" i="2"/>
  <c r="M94" i="2" s="1"/>
  <c r="N94" i="2" s="1"/>
  <c r="I94" i="2"/>
  <c r="K94" i="2" s="1"/>
  <c r="L93" i="2"/>
  <c r="J93" i="2"/>
  <c r="P93" i="2" s="1"/>
  <c r="I93" i="2"/>
  <c r="K93" i="2" s="1"/>
  <c r="L92" i="2"/>
  <c r="J92" i="2"/>
  <c r="P92" i="2" s="1"/>
  <c r="I92" i="2"/>
  <c r="K92" i="2" s="1"/>
  <c r="L91" i="2"/>
  <c r="J91" i="2"/>
  <c r="I91" i="2"/>
  <c r="K91" i="2" s="1"/>
  <c r="P90" i="2"/>
  <c r="M90" i="2"/>
  <c r="N90" i="2" s="1"/>
  <c r="L90" i="2"/>
  <c r="J90" i="2"/>
  <c r="I90" i="2"/>
  <c r="K90" i="2" s="1"/>
  <c r="L89" i="2"/>
  <c r="J89" i="2"/>
  <c r="P89" i="2" s="1"/>
  <c r="I89" i="2"/>
  <c r="K89" i="2" s="1"/>
  <c r="L88" i="2"/>
  <c r="J88" i="2"/>
  <c r="I88" i="2"/>
  <c r="K88" i="2" s="1"/>
  <c r="P87" i="2"/>
  <c r="M87" i="2"/>
  <c r="N87" i="2" s="1"/>
  <c r="O87" i="2" s="1"/>
  <c r="Q87" i="2" s="1"/>
  <c r="R87" i="2" s="1"/>
  <c r="L87" i="2"/>
  <c r="K87" i="2"/>
  <c r="J87" i="2"/>
  <c r="I87" i="2"/>
  <c r="L86" i="2"/>
  <c r="J86" i="2"/>
  <c r="I86" i="2"/>
  <c r="K86" i="2" s="1"/>
  <c r="L85" i="2"/>
  <c r="J85" i="2"/>
  <c r="P85" i="2" s="1"/>
  <c r="I85" i="2"/>
  <c r="K85" i="2" s="1"/>
  <c r="L84" i="2"/>
  <c r="J84" i="2"/>
  <c r="I84" i="2"/>
  <c r="K84" i="2" s="1"/>
  <c r="L83" i="2"/>
  <c r="J83" i="2"/>
  <c r="I83" i="2"/>
  <c r="K83" i="2" s="1"/>
  <c r="L82" i="2"/>
  <c r="J82" i="2"/>
  <c r="P82" i="2" s="1"/>
  <c r="I82" i="2"/>
  <c r="K82" i="2" s="1"/>
  <c r="L81" i="2"/>
  <c r="J81" i="2"/>
  <c r="I81" i="2"/>
  <c r="K81" i="2" s="1"/>
  <c r="L80" i="2"/>
  <c r="J80" i="2"/>
  <c r="I80" i="2"/>
  <c r="K80" i="2" s="1"/>
  <c r="L79" i="2"/>
  <c r="J79" i="2"/>
  <c r="P79" i="2" s="1"/>
  <c r="I79" i="2"/>
  <c r="K79" i="2" s="1"/>
  <c r="L78" i="2"/>
  <c r="J78" i="2"/>
  <c r="M78" i="2" s="1"/>
  <c r="N78" i="2" s="1"/>
  <c r="I78" i="2"/>
  <c r="K78" i="2" s="1"/>
  <c r="L77" i="2"/>
  <c r="J77" i="2"/>
  <c r="P77" i="2" s="1"/>
  <c r="I77" i="2"/>
  <c r="K77" i="2" s="1"/>
  <c r="L76" i="2"/>
  <c r="J76" i="2"/>
  <c r="P76" i="2" s="1"/>
  <c r="I76" i="2"/>
  <c r="K76" i="2" s="1"/>
  <c r="L75" i="2"/>
  <c r="J75" i="2"/>
  <c r="I75" i="2"/>
  <c r="K75" i="2" s="1"/>
  <c r="L74" i="2"/>
  <c r="J74" i="2"/>
  <c r="I74" i="2"/>
  <c r="K74" i="2" s="1"/>
  <c r="L73" i="2"/>
  <c r="J73" i="2"/>
  <c r="I73" i="2"/>
  <c r="K73" i="2" s="1"/>
  <c r="L72" i="2"/>
  <c r="J72" i="2"/>
  <c r="I72" i="2"/>
  <c r="K72" i="2" s="1"/>
  <c r="L71" i="2"/>
  <c r="J71" i="2"/>
  <c r="M71" i="2" s="1"/>
  <c r="N71" i="2" s="1"/>
  <c r="I71" i="2"/>
  <c r="K71" i="2" s="1"/>
  <c r="L70" i="2"/>
  <c r="K70" i="2"/>
  <c r="J70" i="2"/>
  <c r="I70" i="2"/>
  <c r="L69" i="2"/>
  <c r="J69" i="2"/>
  <c r="P69" i="2" s="1"/>
  <c r="I69" i="2"/>
  <c r="K69" i="2" s="1"/>
  <c r="L68" i="2"/>
  <c r="J68" i="2"/>
  <c r="P68" i="2" s="1"/>
  <c r="I68" i="2"/>
  <c r="K68" i="2" s="1"/>
  <c r="L67" i="2"/>
  <c r="J67" i="2"/>
  <c r="I67" i="2"/>
  <c r="K67" i="2" s="1"/>
  <c r="P66" i="2"/>
  <c r="M66" i="2"/>
  <c r="N66" i="2" s="1"/>
  <c r="L66" i="2"/>
  <c r="J66" i="2"/>
  <c r="I66" i="2"/>
  <c r="K66" i="2" s="1"/>
  <c r="L65" i="2"/>
  <c r="J65" i="2"/>
  <c r="P65" i="2" s="1"/>
  <c r="I65" i="2"/>
  <c r="K65" i="2" s="1"/>
  <c r="L64" i="2"/>
  <c r="J64" i="2"/>
  <c r="I64" i="2"/>
  <c r="K64" i="2" s="1"/>
  <c r="L63" i="2"/>
  <c r="J63" i="2"/>
  <c r="I63" i="2"/>
  <c r="K63" i="2" s="1"/>
  <c r="L62" i="2"/>
  <c r="J62" i="2"/>
  <c r="I62" i="2"/>
  <c r="K62" i="2" s="1"/>
  <c r="L61" i="2"/>
  <c r="J61" i="2"/>
  <c r="P61" i="2" s="1"/>
  <c r="I61" i="2"/>
  <c r="K61" i="2" s="1"/>
  <c r="L60" i="2"/>
  <c r="J60" i="2"/>
  <c r="I60" i="2"/>
  <c r="K60" i="2" s="1"/>
  <c r="L59" i="2"/>
  <c r="J59" i="2"/>
  <c r="I59" i="2"/>
  <c r="K59" i="2" s="1"/>
  <c r="L58" i="2"/>
  <c r="J58" i="2"/>
  <c r="P58" i="2" s="1"/>
  <c r="I58" i="2"/>
  <c r="K58" i="2" s="1"/>
  <c r="L57" i="2"/>
  <c r="J57" i="2"/>
  <c r="I57" i="2"/>
  <c r="K57" i="2" s="1"/>
  <c r="L56" i="2"/>
  <c r="J56" i="2"/>
  <c r="I56" i="2"/>
  <c r="K56" i="2" s="1"/>
  <c r="P55" i="2"/>
  <c r="L55" i="2"/>
  <c r="J55" i="2"/>
  <c r="M55" i="2" s="1"/>
  <c r="N55" i="2" s="1"/>
  <c r="I55" i="2"/>
  <c r="K55" i="2" s="1"/>
  <c r="L54" i="2"/>
  <c r="J54" i="2"/>
  <c r="I54" i="2"/>
  <c r="K54" i="2" s="1"/>
  <c r="L53" i="2"/>
  <c r="J53" i="2"/>
  <c r="M53" i="2" s="1"/>
  <c r="N53" i="2" s="1"/>
  <c r="O53" i="2" s="1"/>
  <c r="I53" i="2"/>
  <c r="K53" i="2" s="1"/>
  <c r="L52" i="2"/>
  <c r="J52" i="2"/>
  <c r="P52" i="2" s="1"/>
  <c r="I52" i="2"/>
  <c r="K52" i="2" s="1"/>
  <c r="L51" i="2"/>
  <c r="J51" i="2"/>
  <c r="I51" i="2"/>
  <c r="K51" i="2" s="1"/>
  <c r="L50" i="2"/>
  <c r="J50" i="2"/>
  <c r="P50" i="2" s="1"/>
  <c r="I50" i="2"/>
  <c r="K50" i="2" s="1"/>
  <c r="L49" i="2"/>
  <c r="J49" i="2"/>
  <c r="P49" i="2" s="1"/>
  <c r="I49" i="2"/>
  <c r="K49" i="2" s="1"/>
  <c r="L48" i="2"/>
  <c r="J48" i="2"/>
  <c r="I48" i="2"/>
  <c r="K48" i="2" s="1"/>
  <c r="L47" i="2"/>
  <c r="J47" i="2"/>
  <c r="P47" i="2" s="1"/>
  <c r="I47" i="2"/>
  <c r="K47" i="2" s="1"/>
  <c r="L46" i="2"/>
  <c r="J46" i="2"/>
  <c r="M46" i="2" s="1"/>
  <c r="N46" i="2" s="1"/>
  <c r="I46" i="2"/>
  <c r="K46" i="2" s="1"/>
  <c r="P45" i="2"/>
  <c r="M45" i="2"/>
  <c r="N45" i="2" s="1"/>
  <c r="O45" i="2" s="1"/>
  <c r="L45" i="2"/>
  <c r="J45" i="2"/>
  <c r="I45" i="2"/>
  <c r="K45" i="2" s="1"/>
  <c r="L44" i="2"/>
  <c r="J44" i="2"/>
  <c r="P44" i="2" s="1"/>
  <c r="I44" i="2"/>
  <c r="K44" i="2" s="1"/>
  <c r="L43" i="2"/>
  <c r="J43" i="2"/>
  <c r="M43" i="2" s="1"/>
  <c r="N43" i="2" s="1"/>
  <c r="I43" i="2"/>
  <c r="K43" i="2" s="1"/>
  <c r="P42" i="2"/>
  <c r="M42" i="2"/>
  <c r="N42" i="2" s="1"/>
  <c r="O42" i="2" s="1"/>
  <c r="L42" i="2"/>
  <c r="K42" i="2"/>
  <c r="J42" i="2"/>
  <c r="I42" i="2"/>
  <c r="L41" i="2"/>
  <c r="J41" i="2"/>
  <c r="P41" i="2" s="1"/>
  <c r="I41" i="2"/>
  <c r="K41" i="2" s="1"/>
  <c r="L40" i="2"/>
  <c r="J40" i="2"/>
  <c r="I40" i="2"/>
  <c r="K40" i="2" s="1"/>
  <c r="L39" i="2"/>
  <c r="K39" i="2"/>
  <c r="J39" i="2"/>
  <c r="P39" i="2" s="1"/>
  <c r="I39" i="2"/>
  <c r="L38" i="2"/>
  <c r="J38" i="2"/>
  <c r="I38" i="2"/>
  <c r="K38" i="2" s="1"/>
  <c r="L37" i="2"/>
  <c r="J37" i="2"/>
  <c r="P37" i="2" s="1"/>
  <c r="I37" i="2"/>
  <c r="K37" i="2" s="1"/>
  <c r="L36" i="2"/>
  <c r="J36" i="2"/>
  <c r="I36" i="2"/>
  <c r="K36" i="2" s="1"/>
  <c r="M35" i="2"/>
  <c r="N35" i="2" s="1"/>
  <c r="O35" i="2" s="1"/>
  <c r="L35" i="2"/>
  <c r="J35" i="2"/>
  <c r="I35" i="2"/>
  <c r="K35" i="2" s="1"/>
  <c r="L34" i="2"/>
  <c r="J34" i="2"/>
  <c r="P34" i="2" s="1"/>
  <c r="I34" i="2"/>
  <c r="K34" i="2" s="1"/>
  <c r="L33" i="2"/>
  <c r="J33" i="2"/>
  <c r="I33" i="2"/>
  <c r="K33" i="2" s="1"/>
  <c r="L32" i="2"/>
  <c r="J32" i="2"/>
  <c r="I32" i="2"/>
  <c r="K32" i="2" s="1"/>
  <c r="L31" i="2"/>
  <c r="J31" i="2"/>
  <c r="P31" i="2" s="1"/>
  <c r="I31" i="2"/>
  <c r="K31" i="2" s="1"/>
  <c r="L30" i="2"/>
  <c r="J30" i="2"/>
  <c r="I30" i="2"/>
  <c r="K30" i="2" s="1"/>
  <c r="L29" i="2"/>
  <c r="J29" i="2"/>
  <c r="I29" i="2"/>
  <c r="K29" i="2" s="1"/>
  <c r="P28" i="2"/>
  <c r="L28" i="2"/>
  <c r="J28" i="2"/>
  <c r="M28" i="2" s="1"/>
  <c r="N28" i="2" s="1"/>
  <c r="I28" i="2"/>
  <c r="K28" i="2" s="1"/>
  <c r="L27" i="2"/>
  <c r="J27" i="2"/>
  <c r="I27" i="2"/>
  <c r="K27" i="2" s="1"/>
  <c r="L26" i="2"/>
  <c r="J26" i="2"/>
  <c r="I26" i="2"/>
  <c r="K26" i="2" s="1"/>
  <c r="P25" i="2"/>
  <c r="M25" i="2"/>
  <c r="N25" i="2" s="1"/>
  <c r="L25" i="2"/>
  <c r="J25" i="2"/>
  <c r="I25" i="2"/>
  <c r="K25" i="2" s="1"/>
  <c r="L24" i="2"/>
  <c r="J24" i="2"/>
  <c r="I24" i="2"/>
  <c r="K24" i="2" s="1"/>
  <c r="L23" i="2"/>
  <c r="J23" i="2"/>
  <c r="M23" i="2" s="1"/>
  <c r="N23" i="2" s="1"/>
  <c r="I23" i="2"/>
  <c r="K23" i="2" s="1"/>
  <c r="L22" i="2"/>
  <c r="J22" i="2"/>
  <c r="I22" i="2"/>
  <c r="K22" i="2" s="1"/>
  <c r="P21" i="2"/>
  <c r="M21" i="2"/>
  <c r="N21" i="2" s="1"/>
  <c r="O21" i="2" s="1"/>
  <c r="Q21" i="2" s="1"/>
  <c r="R21" i="2" s="1"/>
  <c r="L21" i="2"/>
  <c r="J21" i="2"/>
  <c r="I21" i="2"/>
  <c r="K21" i="2" s="1"/>
  <c r="L20" i="2"/>
  <c r="J20" i="2"/>
  <c r="P20" i="2" s="1"/>
  <c r="I20" i="2"/>
  <c r="K20" i="2" s="1"/>
  <c r="L19" i="2"/>
  <c r="J19" i="2"/>
  <c r="M19" i="2" s="1"/>
  <c r="N19" i="2" s="1"/>
  <c r="I19" i="2"/>
  <c r="K19" i="2" s="1"/>
  <c r="P18" i="2"/>
  <c r="M18" i="2"/>
  <c r="N18" i="2" s="1"/>
  <c r="L18" i="2"/>
  <c r="K18" i="2"/>
  <c r="J18" i="2"/>
  <c r="I18" i="2"/>
  <c r="L17" i="2"/>
  <c r="J17" i="2"/>
  <c r="I17" i="2"/>
  <c r="K17" i="2" s="1"/>
  <c r="L16" i="2"/>
  <c r="J16" i="2"/>
  <c r="I16" i="2"/>
  <c r="K16" i="2" s="1"/>
  <c r="L15" i="2"/>
  <c r="J15" i="2"/>
  <c r="I15" i="2"/>
  <c r="K15" i="2" s="1"/>
  <c r="L14" i="2"/>
  <c r="J14" i="2"/>
  <c r="I14" i="2"/>
  <c r="K14" i="2" s="1"/>
  <c r="L13" i="2"/>
  <c r="J13" i="2"/>
  <c r="P13" i="2" s="1"/>
  <c r="I13" i="2"/>
  <c r="K13" i="2" s="1"/>
  <c r="L12" i="2"/>
  <c r="J12" i="2"/>
  <c r="I12" i="2"/>
  <c r="K12" i="2" s="1"/>
  <c r="M11" i="2"/>
  <c r="N11" i="2" s="1"/>
  <c r="L11" i="2"/>
  <c r="J11" i="2"/>
  <c r="I11" i="2"/>
  <c r="K11" i="2" s="1"/>
  <c r="L10" i="2"/>
  <c r="J10" i="2"/>
  <c r="P10" i="2" s="1"/>
  <c r="I10" i="2"/>
  <c r="K10" i="2" s="1"/>
  <c r="L9" i="2"/>
  <c r="J9" i="2"/>
  <c r="I9" i="2"/>
  <c r="K9" i="2" s="1"/>
  <c r="L8" i="2"/>
  <c r="J8" i="2"/>
  <c r="I8" i="2"/>
  <c r="K8" i="2" s="1"/>
  <c r="L7" i="2"/>
  <c r="J7" i="2"/>
  <c r="P7" i="2" s="1"/>
  <c r="I7" i="2"/>
  <c r="K7" i="2" s="1"/>
  <c r="L6" i="2"/>
  <c r="J6" i="2"/>
  <c r="M6" i="2" s="1"/>
  <c r="N6" i="2" s="1"/>
  <c r="I6" i="2"/>
  <c r="K6" i="2" s="1"/>
  <c r="P5" i="2"/>
  <c r="M5" i="2"/>
  <c r="N5" i="2" s="1"/>
  <c r="O5" i="2" s="1"/>
  <c r="Q5" i="2" s="1"/>
  <c r="R5" i="2" s="1"/>
  <c r="L5" i="2"/>
  <c r="J5" i="2"/>
  <c r="I5" i="2"/>
  <c r="K5" i="2" s="1"/>
  <c r="P12" i="2" l="1"/>
  <c r="M12" i="2"/>
  <c r="N12" i="2" s="1"/>
  <c r="O12" i="2" s="1"/>
  <c r="Q12" i="2" s="1"/>
  <c r="R12" i="2" s="1"/>
  <c r="P63" i="2"/>
  <c r="Q63" i="2" s="1"/>
  <c r="R63" i="2" s="1"/>
  <c r="M63" i="2"/>
  <c r="N63" i="2" s="1"/>
  <c r="O63" i="2" s="1"/>
  <c r="M77" i="2"/>
  <c r="N77" i="2" s="1"/>
  <c r="O77" i="2" s="1"/>
  <c r="Q77" i="2" s="1"/>
  <c r="R77" i="2" s="1"/>
  <c r="M26" i="2"/>
  <c r="N26" i="2" s="1"/>
  <c r="O26" i="2" s="1"/>
  <c r="P26" i="2"/>
  <c r="P36" i="2"/>
  <c r="M36" i="2"/>
  <c r="N36" i="2" s="1"/>
  <c r="P111" i="2"/>
  <c r="M111" i="2"/>
  <c r="N111" i="2" s="1"/>
  <c r="O111" i="2" s="1"/>
  <c r="Q111" i="2" s="1"/>
  <c r="R111" i="2" s="1"/>
  <c r="M101" i="2"/>
  <c r="N101" i="2" s="1"/>
  <c r="O101" i="2" s="1"/>
  <c r="Q101" i="2" s="1"/>
  <c r="R101" i="2" s="1"/>
  <c r="P125" i="2"/>
  <c r="M125" i="2"/>
  <c r="N125" i="2" s="1"/>
  <c r="O125" i="2" s="1"/>
  <c r="Q125" i="2" s="1"/>
  <c r="R125" i="2" s="1"/>
  <c r="P9" i="2"/>
  <c r="M9" i="2"/>
  <c r="N9" i="2" s="1"/>
  <c r="O9" i="2" s="1"/>
  <c r="P74" i="2"/>
  <c r="M74" i="2"/>
  <c r="N74" i="2" s="1"/>
  <c r="O74" i="2" s="1"/>
  <c r="P84" i="2"/>
  <c r="M84" i="2"/>
  <c r="N84" i="2" s="1"/>
  <c r="O84" i="2" s="1"/>
  <c r="O18" i="2"/>
  <c r="P60" i="2"/>
  <c r="M60" i="2"/>
  <c r="N60" i="2" s="1"/>
  <c r="O60" i="2" s="1"/>
  <c r="Q60" i="2" s="1"/>
  <c r="R60" i="2" s="1"/>
  <c r="P98" i="2"/>
  <c r="M98" i="2"/>
  <c r="N98" i="2" s="1"/>
  <c r="O98" i="2" s="1"/>
  <c r="Q98" i="2" s="1"/>
  <c r="R98" i="2" s="1"/>
  <c r="P33" i="2"/>
  <c r="M33" i="2"/>
  <c r="N33" i="2" s="1"/>
  <c r="O33" i="2" s="1"/>
  <c r="Q33" i="2" s="1"/>
  <c r="R33" i="2" s="1"/>
  <c r="O103" i="2"/>
  <c r="Q103" i="2" s="1"/>
  <c r="R103" i="2" s="1"/>
  <c r="M108" i="2"/>
  <c r="N108" i="2" s="1"/>
  <c r="O108" i="2" s="1"/>
  <c r="P108" i="2"/>
  <c r="P15" i="2"/>
  <c r="Q15" i="2" s="1"/>
  <c r="R15" i="2" s="1"/>
  <c r="M15" i="2"/>
  <c r="N15" i="2" s="1"/>
  <c r="O15" i="2" s="1"/>
  <c r="O94" i="2"/>
  <c r="P29" i="2"/>
  <c r="M29" i="2"/>
  <c r="N29" i="2" s="1"/>
  <c r="O29" i="2" s="1"/>
  <c r="Q29" i="2" s="1"/>
  <c r="R29" i="2" s="1"/>
  <c r="O66" i="2"/>
  <c r="Q66" i="2" s="1"/>
  <c r="R66" i="2" s="1"/>
  <c r="O71" i="2"/>
  <c r="M81" i="2"/>
  <c r="N81" i="2" s="1"/>
  <c r="P81" i="2"/>
  <c r="O118" i="2"/>
  <c r="M52" i="2"/>
  <c r="N52" i="2" s="1"/>
  <c r="O52" i="2" s="1"/>
  <c r="Q52" i="2" s="1"/>
  <c r="R52" i="2" s="1"/>
  <c r="O7" i="2"/>
  <c r="Q7" i="2" s="1"/>
  <c r="R7" i="2" s="1"/>
  <c r="M39" i="2"/>
  <c r="N39" i="2" s="1"/>
  <c r="O39" i="2" s="1"/>
  <c r="Q39" i="2" s="1"/>
  <c r="R39" i="2" s="1"/>
  <c r="O90" i="2"/>
  <c r="Q90" i="2" s="1"/>
  <c r="R90" i="2" s="1"/>
  <c r="O114" i="2"/>
  <c r="Q114" i="2" s="1"/>
  <c r="R114" i="2" s="1"/>
  <c r="M122" i="2"/>
  <c r="N122" i="2" s="1"/>
  <c r="O122" i="2" s="1"/>
  <c r="Q122" i="2" s="1"/>
  <c r="R122" i="2" s="1"/>
  <c r="P53" i="2"/>
  <c r="Q53" i="2" s="1"/>
  <c r="R53" i="2" s="1"/>
  <c r="M68" i="2"/>
  <c r="N68" i="2" s="1"/>
  <c r="P71" i="2"/>
  <c r="P23" i="2"/>
  <c r="M37" i="2"/>
  <c r="N37" i="2" s="1"/>
  <c r="O37" i="2" s="1"/>
  <c r="Q37" i="2" s="1"/>
  <c r="R37" i="2" s="1"/>
  <c r="M50" i="2"/>
  <c r="N50" i="2" s="1"/>
  <c r="O50" i="2" s="1"/>
  <c r="M85" i="2"/>
  <c r="N85" i="2" s="1"/>
  <c r="O85" i="2" s="1"/>
  <c r="Q85" i="2" s="1"/>
  <c r="R85" i="2" s="1"/>
  <c r="M92" i="2"/>
  <c r="N92" i="2" s="1"/>
  <c r="O92" i="2" s="1"/>
  <c r="Q92" i="2" s="1"/>
  <c r="R92" i="2" s="1"/>
  <c r="M95" i="2"/>
  <c r="N95" i="2" s="1"/>
  <c r="O95" i="2" s="1"/>
  <c r="Q95" i="2" s="1"/>
  <c r="R95" i="2" s="1"/>
  <c r="M34" i="2"/>
  <c r="N34" i="2" s="1"/>
  <c r="O34" i="2" s="1"/>
  <c r="Q34" i="2" s="1"/>
  <c r="R34" i="2" s="1"/>
  <c r="M61" i="2"/>
  <c r="N61" i="2" s="1"/>
  <c r="O61" i="2" s="1"/>
  <c r="Q61" i="2" s="1"/>
  <c r="R61" i="2" s="1"/>
  <c r="M20" i="2"/>
  <c r="N20" i="2" s="1"/>
  <c r="O20" i="2" s="1"/>
  <c r="Q20" i="2" s="1"/>
  <c r="R20" i="2" s="1"/>
  <c r="M47" i="2"/>
  <c r="N47" i="2" s="1"/>
  <c r="O47" i="2" s="1"/>
  <c r="Q47" i="2" s="1"/>
  <c r="R47" i="2" s="1"/>
  <c r="M82" i="2"/>
  <c r="N82" i="2" s="1"/>
  <c r="O82" i="2" s="1"/>
  <c r="Q82" i="2" s="1"/>
  <c r="R82" i="2" s="1"/>
  <c r="M89" i="2"/>
  <c r="N89" i="2" s="1"/>
  <c r="O89" i="2" s="1"/>
  <c r="Q89" i="2" s="1"/>
  <c r="R89" i="2" s="1"/>
  <c r="M10" i="2"/>
  <c r="N10" i="2" s="1"/>
  <c r="O10" i="2" s="1"/>
  <c r="Q10" i="2" s="1"/>
  <c r="R10" i="2" s="1"/>
  <c r="M31" i="2"/>
  <c r="N31" i="2" s="1"/>
  <c r="M44" i="2"/>
  <c r="N44" i="2" s="1"/>
  <c r="M58" i="2"/>
  <c r="N58" i="2" s="1"/>
  <c r="O58" i="2" s="1"/>
  <c r="M69" i="2"/>
  <c r="N69" i="2" s="1"/>
  <c r="O69" i="2" s="1"/>
  <c r="M76" i="2"/>
  <c r="N76" i="2" s="1"/>
  <c r="M79" i="2"/>
  <c r="N79" i="2" s="1"/>
  <c r="O79" i="2" s="1"/>
  <c r="M109" i="2"/>
  <c r="N109" i="2" s="1"/>
  <c r="O109" i="2" s="1"/>
  <c r="Q109" i="2" s="1"/>
  <c r="R109" i="2" s="1"/>
  <c r="M116" i="2"/>
  <c r="N116" i="2" s="1"/>
  <c r="M7" i="2"/>
  <c r="N7" i="2" s="1"/>
  <c r="M13" i="2"/>
  <c r="N13" i="2" s="1"/>
  <c r="O13" i="2" s="1"/>
  <c r="Q13" i="2" s="1"/>
  <c r="R13" i="2" s="1"/>
  <c r="M119" i="2"/>
  <c r="N119" i="2" s="1"/>
  <c r="O119" i="2" s="1"/>
  <c r="M106" i="2"/>
  <c r="N106" i="2" s="1"/>
  <c r="O106" i="2" s="1"/>
  <c r="Q106" i="2" s="1"/>
  <c r="R106" i="2" s="1"/>
  <c r="M93" i="2"/>
  <c r="N93" i="2" s="1"/>
  <c r="O93" i="2" s="1"/>
  <c r="Q93" i="2" s="1"/>
  <c r="R93" i="2" s="1"/>
  <c r="M100" i="2"/>
  <c r="N100" i="2" s="1"/>
  <c r="O100" i="2" s="1"/>
  <c r="Q100" i="2" s="1"/>
  <c r="R100" i="2" s="1"/>
  <c r="Q74" i="2"/>
  <c r="R74" i="2" s="1"/>
  <c r="Q45" i="2"/>
  <c r="R45" i="2" s="1"/>
  <c r="Q117" i="2"/>
  <c r="R117" i="2" s="1"/>
  <c r="Q124" i="2"/>
  <c r="R124" i="2" s="1"/>
  <c r="Q18" i="2"/>
  <c r="R18" i="2" s="1"/>
  <c r="Q42" i="2"/>
  <c r="R42" i="2" s="1"/>
  <c r="Q50" i="2"/>
  <c r="R50" i="2" s="1"/>
  <c r="Q58" i="2"/>
  <c r="R58" i="2" s="1"/>
  <c r="Q119" i="2"/>
  <c r="R119" i="2" s="1"/>
  <c r="Q69" i="2"/>
  <c r="R69" i="2" s="1"/>
  <c r="Q79" i="2"/>
  <c r="R79" i="2" s="1"/>
  <c r="O36" i="2"/>
  <c r="Q36" i="2" s="1"/>
  <c r="R36" i="2" s="1"/>
  <c r="O46" i="2"/>
  <c r="O31" i="2"/>
  <c r="Q31" i="2" s="1"/>
  <c r="R31" i="2" s="1"/>
  <c r="O44" i="2"/>
  <c r="Q44" i="2" s="1"/>
  <c r="R44" i="2" s="1"/>
  <c r="O68" i="2"/>
  <c r="Q68" i="2" s="1"/>
  <c r="R68" i="2" s="1"/>
  <c r="O6" i="2"/>
  <c r="O81" i="2"/>
  <c r="Q81" i="2" s="1"/>
  <c r="R81" i="2" s="1"/>
  <c r="O78" i="2"/>
  <c r="O116" i="2"/>
  <c r="Q116" i="2" s="1"/>
  <c r="R116" i="2" s="1"/>
  <c r="O28" i="2"/>
  <c r="Q28" i="2" s="1"/>
  <c r="R28" i="2" s="1"/>
  <c r="O55" i="2"/>
  <c r="Q55" i="2" s="1"/>
  <c r="R55" i="2" s="1"/>
  <c r="O76" i="2"/>
  <c r="Q76" i="2" s="1"/>
  <c r="R76" i="2" s="1"/>
  <c r="O23" i="2"/>
  <c r="Q23" i="2" s="1"/>
  <c r="R23" i="2" s="1"/>
  <c r="O25" i="2"/>
  <c r="Q25" i="2" s="1"/>
  <c r="R25" i="2" s="1"/>
  <c r="O110" i="2"/>
  <c r="O43" i="2"/>
  <c r="P75" i="2"/>
  <c r="M75" i="2"/>
  <c r="N75" i="2" s="1"/>
  <c r="O75" i="2" s="1"/>
  <c r="Q75" i="2" s="1"/>
  <c r="R75" i="2" s="1"/>
  <c r="P86" i="2"/>
  <c r="P99" i="2"/>
  <c r="M99" i="2"/>
  <c r="N99" i="2" s="1"/>
  <c r="O99" i="2" s="1"/>
  <c r="P16" i="2"/>
  <c r="M16" i="2"/>
  <c r="N16" i="2" s="1"/>
  <c r="O16" i="2" s="1"/>
  <c r="M73" i="2"/>
  <c r="N73" i="2" s="1"/>
  <c r="O73" i="2" s="1"/>
  <c r="P11" i="2"/>
  <c r="P59" i="2"/>
  <c r="M59" i="2"/>
  <c r="N59" i="2" s="1"/>
  <c r="O59" i="2" s="1"/>
  <c r="Q59" i="2" s="1"/>
  <c r="R59" i="2" s="1"/>
  <c r="P19" i="2"/>
  <c r="P64" i="2"/>
  <c r="M64" i="2"/>
  <c r="N64" i="2" s="1"/>
  <c r="O64" i="2" s="1"/>
  <c r="P123" i="2"/>
  <c r="M123" i="2"/>
  <c r="N123" i="2" s="1"/>
  <c r="O123" i="2" s="1"/>
  <c r="Q123" i="2" s="1"/>
  <c r="R123" i="2" s="1"/>
  <c r="P22" i="2"/>
  <c r="P54" i="2"/>
  <c r="M17" i="2"/>
  <c r="N17" i="2" s="1"/>
  <c r="O17" i="2" s="1"/>
  <c r="P27" i="2"/>
  <c r="M57" i="2"/>
  <c r="N57" i="2" s="1"/>
  <c r="O57" i="2" s="1"/>
  <c r="P70" i="2"/>
  <c r="P72" i="2"/>
  <c r="M72" i="2"/>
  <c r="N72" i="2" s="1"/>
  <c r="O72" i="2" s="1"/>
  <c r="Q72" i="2" s="1"/>
  <c r="R72" i="2" s="1"/>
  <c r="P83" i="2"/>
  <c r="M83" i="2"/>
  <c r="N83" i="2" s="1"/>
  <c r="O83" i="2" s="1"/>
  <c r="O102" i="2"/>
  <c r="P94" i="2"/>
  <c r="Q94" i="2" s="1"/>
  <c r="R94" i="2" s="1"/>
  <c r="P96" i="2"/>
  <c r="M96" i="2"/>
  <c r="N96" i="2" s="1"/>
  <c r="O96" i="2" s="1"/>
  <c r="P107" i="2"/>
  <c r="M107" i="2"/>
  <c r="N107" i="2" s="1"/>
  <c r="O107" i="2" s="1"/>
  <c r="P118" i="2"/>
  <c r="P120" i="2"/>
  <c r="M120" i="2"/>
  <c r="N120" i="2" s="1"/>
  <c r="O120" i="2" s="1"/>
  <c r="Q120" i="2" s="1"/>
  <c r="R120" i="2" s="1"/>
  <c r="P6" i="2"/>
  <c r="P8" i="2"/>
  <c r="M8" i="2"/>
  <c r="N8" i="2" s="1"/>
  <c r="O8" i="2" s="1"/>
  <c r="Q8" i="2" s="1"/>
  <c r="R8" i="2" s="1"/>
  <c r="P14" i="2"/>
  <c r="P88" i="2"/>
  <c r="M88" i="2"/>
  <c r="N88" i="2" s="1"/>
  <c r="O88" i="2" s="1"/>
  <c r="P24" i="2"/>
  <c r="M24" i="2"/>
  <c r="N24" i="2" s="1"/>
  <c r="O24" i="2" s="1"/>
  <c r="Q24" i="2" s="1"/>
  <c r="R24" i="2" s="1"/>
  <c r="O11" i="2"/>
  <c r="P35" i="2"/>
  <c r="Q35" i="2" s="1"/>
  <c r="R35" i="2" s="1"/>
  <c r="P51" i="2"/>
  <c r="M51" i="2"/>
  <c r="N51" i="2" s="1"/>
  <c r="O51" i="2" s="1"/>
  <c r="Q51" i="2" s="1"/>
  <c r="R51" i="2" s="1"/>
  <c r="O19" i="2"/>
  <c r="P43" i="2"/>
  <c r="P17" i="2"/>
  <c r="M27" i="2"/>
  <c r="N27" i="2" s="1"/>
  <c r="O27" i="2" s="1"/>
  <c r="M41" i="2"/>
  <c r="N41" i="2" s="1"/>
  <c r="O41" i="2" s="1"/>
  <c r="Q41" i="2" s="1"/>
  <c r="R41" i="2" s="1"/>
  <c r="M49" i="2"/>
  <c r="N49" i="2" s="1"/>
  <c r="O49" i="2" s="1"/>
  <c r="Q49" i="2" s="1"/>
  <c r="R49" i="2" s="1"/>
  <c r="P57" i="2"/>
  <c r="M70" i="2"/>
  <c r="N70" i="2" s="1"/>
  <c r="O70" i="2" s="1"/>
  <c r="Q70" i="2" s="1"/>
  <c r="R70" i="2" s="1"/>
  <c r="M105" i="2"/>
  <c r="N105" i="2" s="1"/>
  <c r="O105" i="2" s="1"/>
  <c r="Q105" i="2" s="1"/>
  <c r="R105" i="2" s="1"/>
  <c r="P110" i="2"/>
  <c r="P112" i="2"/>
  <c r="M112" i="2"/>
  <c r="N112" i="2" s="1"/>
  <c r="O112" i="2" s="1"/>
  <c r="Q112" i="2" s="1"/>
  <c r="R112" i="2" s="1"/>
  <c r="M121" i="2"/>
  <c r="N121" i="2" s="1"/>
  <c r="O121" i="2" s="1"/>
  <c r="P62" i="2"/>
  <c r="P30" i="2"/>
  <c r="P32" i="2"/>
  <c r="M32" i="2"/>
  <c r="N32" i="2" s="1"/>
  <c r="O32" i="2" s="1"/>
  <c r="M86" i="2"/>
  <c r="N86" i="2" s="1"/>
  <c r="O86" i="2" s="1"/>
  <c r="P46" i="2"/>
  <c r="P67" i="2"/>
  <c r="M67" i="2"/>
  <c r="N67" i="2" s="1"/>
  <c r="O67" i="2" s="1"/>
  <c r="Q67" i="2" s="1"/>
  <c r="R67" i="2" s="1"/>
  <c r="M30" i="2"/>
  <c r="N30" i="2" s="1"/>
  <c r="O30" i="2" s="1"/>
  <c r="P48" i="2"/>
  <c r="M48" i="2"/>
  <c r="N48" i="2" s="1"/>
  <c r="O48" i="2" s="1"/>
  <c r="Q48" i="2" s="1"/>
  <c r="R48" i="2" s="1"/>
  <c r="M54" i="2"/>
  <c r="N54" i="2" s="1"/>
  <c r="O54" i="2" s="1"/>
  <c r="P78" i="2"/>
  <c r="P80" i="2"/>
  <c r="M80" i="2"/>
  <c r="N80" i="2" s="1"/>
  <c r="O80" i="2" s="1"/>
  <c r="Q80" i="2" s="1"/>
  <c r="R80" i="2" s="1"/>
  <c r="P91" i="2"/>
  <c r="M91" i="2"/>
  <c r="N91" i="2" s="1"/>
  <c r="O91" i="2" s="1"/>
  <c r="P97" i="2"/>
  <c r="P56" i="2"/>
  <c r="M56" i="2"/>
  <c r="N56" i="2" s="1"/>
  <c r="O56" i="2" s="1"/>
  <c r="M62" i="2"/>
  <c r="N62" i="2" s="1"/>
  <c r="O62" i="2" s="1"/>
  <c r="M97" i="2"/>
  <c r="N97" i="2" s="1"/>
  <c r="O97" i="2" s="1"/>
  <c r="Q97" i="2" s="1"/>
  <c r="R97" i="2" s="1"/>
  <c r="M14" i="2"/>
  <c r="N14" i="2" s="1"/>
  <c r="O14" i="2" s="1"/>
  <c r="P38" i="2"/>
  <c r="M22" i="2"/>
  <c r="N22" i="2" s="1"/>
  <c r="O22" i="2" s="1"/>
  <c r="P40" i="2"/>
  <c r="M40" i="2"/>
  <c r="N40" i="2" s="1"/>
  <c r="O40" i="2" s="1"/>
  <c r="P73" i="2"/>
  <c r="M38" i="2"/>
  <c r="N38" i="2" s="1"/>
  <c r="O38" i="2" s="1"/>
  <c r="M65" i="2"/>
  <c r="N65" i="2" s="1"/>
  <c r="O65" i="2" s="1"/>
  <c r="Q65" i="2" s="1"/>
  <c r="R65" i="2" s="1"/>
  <c r="P102" i="2"/>
  <c r="P104" i="2"/>
  <c r="M104" i="2"/>
  <c r="N104" i="2" s="1"/>
  <c r="O104" i="2" s="1"/>
  <c r="P115" i="2"/>
  <c r="M115" i="2"/>
  <c r="N115" i="2" s="1"/>
  <c r="O115" i="2" s="1"/>
  <c r="P121" i="2"/>
  <c r="M113" i="2"/>
  <c r="N113" i="2" s="1"/>
  <c r="O113" i="2" s="1"/>
  <c r="Q113" i="2" s="1"/>
  <c r="R113" i="2" s="1"/>
  <c r="M127" i="2"/>
  <c r="N127" i="2" s="1"/>
  <c r="O127" i="2" s="1"/>
  <c r="P127" i="2"/>
  <c r="P126" i="2"/>
  <c r="Q126" i="2" s="1"/>
  <c r="R126" i="2" s="1"/>
  <c r="M128" i="2"/>
  <c r="N128" i="2" s="1"/>
  <c r="O128" i="2" s="1"/>
  <c r="P128" i="2"/>
  <c r="Q26" i="2" l="1"/>
  <c r="R26" i="2" s="1"/>
  <c r="Q83" i="2"/>
  <c r="R83" i="2" s="1"/>
  <c r="Q71" i="2"/>
  <c r="R71" i="2" s="1"/>
  <c r="Q84" i="2"/>
  <c r="R84" i="2" s="1"/>
  <c r="Q108" i="2"/>
  <c r="R108" i="2" s="1"/>
  <c r="Q30" i="2"/>
  <c r="R30" i="2" s="1"/>
  <c r="Q99" i="2"/>
  <c r="R99" i="2" s="1"/>
  <c r="Q9" i="2"/>
  <c r="R9" i="2" s="1"/>
  <c r="Q118" i="2"/>
  <c r="R118" i="2" s="1"/>
  <c r="Q104" i="2"/>
  <c r="R104" i="2" s="1"/>
  <c r="Q91" i="2"/>
  <c r="R91" i="2" s="1"/>
  <c r="Q78" i="2"/>
  <c r="R78" i="2" s="1"/>
  <c r="Q62" i="2"/>
  <c r="R62" i="2" s="1"/>
  <c r="Q115" i="2"/>
  <c r="R115" i="2" s="1"/>
  <c r="Q56" i="2"/>
  <c r="R56" i="2" s="1"/>
  <c r="Q32" i="2"/>
  <c r="R32" i="2" s="1"/>
  <c r="Q107" i="2"/>
  <c r="R107" i="2" s="1"/>
  <c r="Q96" i="2"/>
  <c r="R96" i="2" s="1"/>
  <c r="Q57" i="2"/>
  <c r="R57" i="2" s="1"/>
  <c r="Q19" i="2"/>
  <c r="R19" i="2" s="1"/>
  <c r="Q38" i="2"/>
  <c r="R38" i="2" s="1"/>
  <c r="Q121" i="2"/>
  <c r="R121" i="2" s="1"/>
  <c r="Q11" i="2"/>
  <c r="R11" i="2" s="1"/>
  <c r="Q40" i="2"/>
  <c r="R40" i="2" s="1"/>
  <c r="Q88" i="2"/>
  <c r="R88" i="2" s="1"/>
  <c r="Q43" i="2"/>
  <c r="R43" i="2" s="1"/>
  <c r="Q22" i="2"/>
  <c r="R22" i="2" s="1"/>
  <c r="Q128" i="2"/>
  <c r="R128" i="2" s="1"/>
  <c r="Q17" i="2"/>
  <c r="R17" i="2" s="1"/>
  <c r="Q102" i="2"/>
  <c r="R102" i="2" s="1"/>
  <c r="Q73" i="2"/>
  <c r="R73" i="2" s="1"/>
  <c r="Q6" i="2"/>
  <c r="R6" i="2" s="1"/>
  <c r="Q86" i="2"/>
  <c r="R86" i="2" s="1"/>
  <c r="Q110" i="2"/>
  <c r="R110" i="2" s="1"/>
  <c r="Q16" i="2"/>
  <c r="R16" i="2" s="1"/>
  <c r="Q46" i="2"/>
  <c r="R46" i="2" s="1"/>
  <c r="Q127" i="2"/>
  <c r="R127" i="2" s="1"/>
  <c r="Q14" i="2"/>
  <c r="R14" i="2" s="1"/>
  <c r="Q54" i="2"/>
  <c r="R54" i="2" s="1"/>
  <c r="Q27" i="2"/>
  <c r="R27" i="2" s="1"/>
  <c r="Q64" i="2"/>
  <c r="R64" i="2" s="1"/>
</calcChain>
</file>

<file path=xl/sharedStrings.xml><?xml version="1.0" encoding="utf-8"?>
<sst xmlns="http://schemas.openxmlformats.org/spreadsheetml/2006/main" count="753" uniqueCount="437">
  <si>
    <t>ลำดับ</t>
  </si>
  <si>
    <t>คำนำหน้า</t>
  </si>
  <si>
    <t>ชื่อ</t>
  </si>
  <si>
    <t>สกุล</t>
  </si>
  <si>
    <t>น.ส.</t>
  </si>
  <si>
    <t>ชิติมา</t>
  </si>
  <si>
    <t>กตัญญู</t>
  </si>
  <si>
    <t>นาง</t>
  </si>
  <si>
    <t>พรพิมล</t>
  </si>
  <si>
    <t>มั่นทอง</t>
  </si>
  <si>
    <t>แสงงาม</t>
  </si>
  <si>
    <t>สะราคำ</t>
  </si>
  <si>
    <t>นาย</t>
  </si>
  <si>
    <t>กิตติศักดิ์</t>
  </si>
  <si>
    <t>ศรีสำปทวน</t>
  </si>
  <si>
    <t>เกรียงไกร</t>
  </si>
  <si>
    <t>พึ่งพวก</t>
  </si>
  <si>
    <t>คมสัน</t>
  </si>
  <si>
    <t>บุญมา</t>
  </si>
  <si>
    <t>จารุวรรณ</t>
  </si>
  <si>
    <t>เปี่ยมเสน</t>
  </si>
  <si>
    <t>จิราภรณ์</t>
  </si>
  <si>
    <t>สิงห์บุตร</t>
  </si>
  <si>
    <t>ชยันต์</t>
  </si>
  <si>
    <t>บุญจันทร์</t>
  </si>
  <si>
    <t>ชุติมา</t>
  </si>
  <si>
    <t>นวลศรีไพร</t>
  </si>
  <si>
    <t>ชูชาติ</t>
  </si>
  <si>
    <t>ไหมทอง</t>
  </si>
  <si>
    <t>ณรงค์</t>
  </si>
  <si>
    <t>เปี่ยมสิน</t>
  </si>
  <si>
    <t>ณวัศพงษ์</t>
  </si>
  <si>
    <t>สิทธิวิโรฒโภคิน</t>
  </si>
  <si>
    <t>ณัฐวุฒิ</t>
  </si>
  <si>
    <t>กุลแจ</t>
  </si>
  <si>
    <t>ดนัย</t>
  </si>
  <si>
    <t>ทองชื่น</t>
  </si>
  <si>
    <t>ติ่ง</t>
  </si>
  <si>
    <t>นาคสังข์</t>
  </si>
  <si>
    <t>ทิม</t>
  </si>
  <si>
    <t>บุญมาทัน</t>
  </si>
  <si>
    <t>ธงชัย</t>
  </si>
  <si>
    <t>โพธิ์หิรัญ</t>
  </si>
  <si>
    <t>ธนงค์พร</t>
  </si>
  <si>
    <t>อ่อนคำ</t>
  </si>
  <si>
    <t>นิรุต</t>
  </si>
  <si>
    <t>บัดกรี</t>
  </si>
  <si>
    <t>แถวอุทุม</t>
  </si>
  <si>
    <t>บุญเลิศ</t>
  </si>
  <si>
    <t>อินสุข</t>
  </si>
  <si>
    <t>บุญส่ง</t>
  </si>
  <si>
    <t>ดวงเหม</t>
  </si>
  <si>
    <t>ประชา</t>
  </si>
  <si>
    <t>วรวงษ์</t>
  </si>
  <si>
    <t>พัชรวัฒน์</t>
  </si>
  <si>
    <t>ไพฑูรย์</t>
  </si>
  <si>
    <t>ป้องเรือ</t>
  </si>
  <si>
    <t>มนิต</t>
  </si>
  <si>
    <t>เปี่ยมศิลป์</t>
  </si>
  <si>
    <t>วิทูรย์</t>
  </si>
  <si>
    <t>เวียง</t>
  </si>
  <si>
    <t>น้ำทิพย์</t>
  </si>
  <si>
    <t>สมพงษ์</t>
  </si>
  <si>
    <t>พึ่งแย้ม</t>
  </si>
  <si>
    <t>สิงห์พันธ์ม่วง</t>
  </si>
  <si>
    <t>สังวาลย์</t>
  </si>
  <si>
    <t>เพ็งผล</t>
  </si>
  <si>
    <t>สาธิต</t>
  </si>
  <si>
    <t>คล้ายสอน</t>
  </si>
  <si>
    <t>สำเนา</t>
  </si>
  <si>
    <t>เอี่ยมสะอาด</t>
  </si>
  <si>
    <t>สำราญ</t>
  </si>
  <si>
    <t>เข็มเงิน</t>
  </si>
  <si>
    <t>สุชัย</t>
  </si>
  <si>
    <t>ใจเย็น</t>
  </si>
  <si>
    <t>สุทน</t>
  </si>
  <si>
    <t>ธัญญเจริญ</t>
  </si>
  <si>
    <t>สุนีย์</t>
  </si>
  <si>
    <t>สุวิชา</t>
  </si>
  <si>
    <t>จ้อยชู</t>
  </si>
  <si>
    <t>สุวิทย์</t>
  </si>
  <si>
    <t>โฮมแพน</t>
  </si>
  <si>
    <t>อภิเชษฐ์</t>
  </si>
  <si>
    <t>ทั่งทอง</t>
  </si>
  <si>
    <t>อำนวย</t>
  </si>
  <si>
    <t>กัลยา</t>
  </si>
  <si>
    <t>กัลยาภัสร์</t>
  </si>
  <si>
    <t>กิ่งกาญจน์</t>
  </si>
  <si>
    <t>จันทร์สุรีย์</t>
  </si>
  <si>
    <t>ชลิดา</t>
  </si>
  <si>
    <t>ใจชื่น</t>
  </si>
  <si>
    <t>ตรีเนตร</t>
  </si>
  <si>
    <t>คูสุวรรณ์</t>
  </si>
  <si>
    <t>นันทพร</t>
  </si>
  <si>
    <t>สุภาผล</t>
  </si>
  <si>
    <t>น้ำอ้อย</t>
  </si>
  <si>
    <t>อุ่มแสง</t>
  </si>
  <si>
    <t>ประไพ</t>
  </si>
  <si>
    <t>ประเสริฐ</t>
  </si>
  <si>
    <t>กลั่นเรือง</t>
  </si>
  <si>
    <t>ปาจารี</t>
  </si>
  <si>
    <t>สายะศิลปี</t>
  </si>
  <si>
    <t>พิชิตา</t>
  </si>
  <si>
    <t>ทองดี</t>
  </si>
  <si>
    <t>พิม</t>
  </si>
  <si>
    <t>มามี</t>
  </si>
  <si>
    <t>ภูวนัส</t>
  </si>
  <si>
    <t>พานทอง</t>
  </si>
  <si>
    <t>มณเฑียร</t>
  </si>
  <si>
    <t>รุ่งนภา</t>
  </si>
  <si>
    <t>ลัดดา</t>
  </si>
  <si>
    <t>ลาคร</t>
  </si>
  <si>
    <t>วสันต์</t>
  </si>
  <si>
    <t>แวว</t>
  </si>
  <si>
    <t>มิ่งสกุล</t>
  </si>
  <si>
    <t>ศักดิ์</t>
  </si>
  <si>
    <t>ศิรินาถ</t>
  </si>
  <si>
    <t>พลนิล</t>
  </si>
  <si>
    <t>ศิริพร</t>
  </si>
  <si>
    <t>โพธิ์สุวรรณ</t>
  </si>
  <si>
    <t>อินทร์หอม</t>
  </si>
  <si>
    <t>ศิริรัตน์</t>
  </si>
  <si>
    <t>สถาพร</t>
  </si>
  <si>
    <t>โฉมเชิด</t>
  </si>
  <si>
    <t>สายทอง</t>
  </si>
  <si>
    <t>ชอบรส</t>
  </si>
  <si>
    <t>สิทธิชัย</t>
  </si>
  <si>
    <t>สุพรรษา</t>
  </si>
  <si>
    <t>กาฬภักดี</t>
  </si>
  <si>
    <t>สุเมต</t>
  </si>
  <si>
    <t>เผือกผ่อง</t>
  </si>
  <si>
    <t>สุรีพร</t>
  </si>
  <si>
    <t>สุรีรัตน์</t>
  </si>
  <si>
    <t>พุ่มโพธิ์</t>
  </si>
  <si>
    <t>สุวรรณ</t>
  </si>
  <si>
    <t>รุ่งเรือง</t>
  </si>
  <si>
    <t>สำรอง</t>
  </si>
  <si>
    <t>หวัน</t>
  </si>
  <si>
    <t>ใจวกุล</t>
  </si>
  <si>
    <t>อร่าม</t>
  </si>
  <si>
    <t>อัญชลี</t>
  </si>
  <si>
    <t>อุบลรัตน์</t>
  </si>
  <si>
    <t>ชลันดา</t>
  </si>
  <si>
    <t>ราชวงศ์</t>
  </si>
  <si>
    <t>กาญจนา</t>
  </si>
  <si>
    <t>จุ้ยเปี่ยม</t>
  </si>
  <si>
    <t>นิรัตน์</t>
  </si>
  <si>
    <t>หิรัญวงษ์</t>
  </si>
  <si>
    <t>ขวัญใจ</t>
  </si>
  <si>
    <t>ขุนทอง</t>
  </si>
  <si>
    <t>นพรัตน์</t>
  </si>
  <si>
    <t>ธมลวรรณ</t>
  </si>
  <si>
    <t>กระแหน่</t>
  </si>
  <si>
    <t>ขวัญจิรา</t>
  </si>
  <si>
    <t>อัตราค่าแรง</t>
  </si>
  <si>
    <t>เริ่มทำงาน</t>
  </si>
  <si>
    <t>358</t>
  </si>
  <si>
    <t>420</t>
  </si>
  <si>
    <t>348</t>
  </si>
  <si>
    <t>350</t>
  </si>
  <si>
    <t>437</t>
  </si>
  <si>
    <t>545</t>
  </si>
  <si>
    <t>418</t>
  </si>
  <si>
    <t>363</t>
  </si>
  <si>
    <t>351</t>
  </si>
  <si>
    <t>567</t>
  </si>
  <si>
    <t>447</t>
  </si>
  <si>
    <t>380</t>
  </si>
  <si>
    <t>483</t>
  </si>
  <si>
    <t>439</t>
  </si>
  <si>
    <t>362</t>
  </si>
  <si>
    <t>647</t>
  </si>
  <si>
    <t>349</t>
  </si>
  <si>
    <t>352</t>
  </si>
  <si>
    <t>354</t>
  </si>
  <si>
    <t>465</t>
  </si>
  <si>
    <t>วันเดือนปีเกิด</t>
  </si>
  <si>
    <t>บริษัท ช. ไพศาล จำกัด</t>
  </si>
  <si>
    <t>การคำนวณผลประโยชน์ของพนักงาน</t>
  </si>
  <si>
    <t>Date</t>
  </si>
  <si>
    <t xml:space="preserve">Salary increase </t>
  </si>
  <si>
    <t>อายุเกษียณ</t>
  </si>
  <si>
    <t>กรอกข้อมูล</t>
  </si>
  <si>
    <t>เป็นสูตร Excel ไม่ต้องกรอก</t>
  </si>
  <si>
    <t>นามสกุล</t>
  </si>
  <si>
    <t>วันที่เริ่มทำงาน</t>
  </si>
  <si>
    <t>เงินเดือน ณ สิ้นปีปัจจุบัน</t>
  </si>
  <si>
    <t>วันที่เกษียณ (อายุครบ 60)</t>
  </si>
  <si>
    <t>อายุปัจจุบัน</t>
  </si>
  <si>
    <t>อายุงานถึงปีเกษียณ</t>
  </si>
  <si>
    <t>อายุงานถึงปีปัจจุบัน</t>
  </si>
  <si>
    <t>อายุงานคงเหลือ</t>
  </si>
  <si>
    <t>เงินเดือน ณ วันเกษียณ</t>
  </si>
  <si>
    <t>ผลประโยชน์ของพนักงานที่ต้องจ่าย ณ วันเกษียณ</t>
  </si>
  <si>
    <t>ความน่าจะเป็นในการอยู่จนถึงวันเกษียณ</t>
  </si>
  <si>
    <t>ประมาณการหนี้สินผลประโยชน์พนักงานที่คาดว่าจะต้องจ่าย ณ วันเกษียณ</t>
  </si>
  <si>
    <t>ผลประโยชน์ของพนักงานที่คาดว่าต้องจ่าย ณ วันสิ้นปีปัจจุบัน</t>
  </si>
  <si>
    <t>ยอดยกมา</t>
  </si>
  <si>
    <t>ต้นทุน</t>
  </si>
  <si>
    <t>คชจ.บริหาร</t>
  </si>
  <si>
    <t>คชจ.ขาย</t>
  </si>
  <si>
    <t>ลาออก</t>
  </si>
  <si>
    <t>อายุงาน (ปี/เดือน)</t>
  </si>
  <si>
    <t>อายุ (ปี/เดือน)</t>
  </si>
  <si>
    <t>สวอง</t>
  </si>
  <si>
    <t xml:space="preserve"> วายุพัฒน์</t>
  </si>
  <si>
    <t>นางสาว</t>
  </si>
  <si>
    <t>จันทิพย์</t>
  </si>
  <si>
    <t>แซ่โง้ว</t>
  </si>
  <si>
    <t>ประนอม</t>
  </si>
  <si>
    <t>สากุล</t>
  </si>
  <si>
    <t>องอาจ</t>
  </si>
  <si>
    <t>สุวรรณฑา</t>
  </si>
  <si>
    <t>โชคชัย</t>
  </si>
  <si>
    <t>ปรีชาญาดีกุล</t>
  </si>
  <si>
    <t>อำพร</t>
  </si>
  <si>
    <t>ชาติไธสง</t>
  </si>
  <si>
    <t>ดีสุวรรณ</t>
  </si>
  <si>
    <t>วันทอง</t>
  </si>
  <si>
    <t>เหง้าน้อย</t>
  </si>
  <si>
    <t>ปรัศนียา</t>
  </si>
  <si>
    <t>ทุสินแก่น</t>
  </si>
  <si>
    <t>ชลอ</t>
  </si>
  <si>
    <t>พูลเตี้ย</t>
  </si>
  <si>
    <t>สายยนต์</t>
  </si>
  <si>
    <t>บุญมี</t>
  </si>
  <si>
    <t>ธนชาต</t>
  </si>
  <si>
    <t>เดชากาญจนาพร</t>
  </si>
  <si>
    <t>จิ๋ม</t>
  </si>
  <si>
    <t>สังข์ทอง</t>
  </si>
  <si>
    <t>น้อย</t>
  </si>
  <si>
    <t>แสนโชติ</t>
  </si>
  <si>
    <t>ปภังกร</t>
  </si>
  <si>
    <t>เพลินพิศ</t>
  </si>
  <si>
    <t>แก้วเปี่ยม</t>
  </si>
  <si>
    <t>ชอบ</t>
  </si>
  <si>
    <t>ทองเกร็จ</t>
  </si>
  <si>
    <t>ทองดาว</t>
  </si>
  <si>
    <t>ทาทิวัน</t>
  </si>
  <si>
    <t>พล</t>
  </si>
  <si>
    <t>โถทอง</t>
  </si>
  <si>
    <t>ประสิทธิ์</t>
  </si>
  <si>
    <t>อยู่จุ้ย</t>
  </si>
  <si>
    <t>ปลอด</t>
  </si>
  <si>
    <t>พงษ์สังข์</t>
  </si>
  <si>
    <t>หวาน</t>
  </si>
  <si>
    <t>แท่งทอง</t>
  </si>
  <si>
    <t>บุญทา</t>
  </si>
  <si>
    <t>ธรรมขันทา</t>
  </si>
  <si>
    <t>ศิริ</t>
  </si>
  <si>
    <t>สงวน</t>
  </si>
  <si>
    <t>ทองสุข</t>
  </si>
  <si>
    <t>แหล่</t>
  </si>
  <si>
    <t>มิสา</t>
  </si>
  <si>
    <t>สายนธี</t>
  </si>
  <si>
    <t>วรเวก</t>
  </si>
  <si>
    <t>เลิง</t>
  </si>
  <si>
    <t>คิดถูก</t>
  </si>
  <si>
    <t>ทองศรี</t>
  </si>
  <si>
    <t>โพธิสระ</t>
  </si>
  <si>
    <t>ประเสริฐ์</t>
  </si>
  <si>
    <t>จันทร์ละมุลมา</t>
  </si>
  <si>
    <t>พรพิศ</t>
  </si>
  <si>
    <t>เรืองศิริ</t>
  </si>
  <si>
    <t>เครือวัลย์</t>
  </si>
  <si>
    <t>สุภาพร</t>
  </si>
  <si>
    <t>อัมรพยาฆร์</t>
  </si>
  <si>
    <t>สมปอง</t>
  </si>
  <si>
    <t>ศรีเฉลิม</t>
  </si>
  <si>
    <t>สำเนียง</t>
  </si>
  <si>
    <t>พรมวันนา</t>
  </si>
  <si>
    <t>บัวลอย</t>
  </si>
  <si>
    <t>เขียวเขิน</t>
  </si>
  <si>
    <t>สวรรค์</t>
  </si>
  <si>
    <t>ยิ้มศรี</t>
  </si>
  <si>
    <t>มรรยาท</t>
  </si>
  <si>
    <t>เชื้อพุก</t>
  </si>
  <si>
    <t>วิไลวรรณ</t>
  </si>
  <si>
    <t>สนเล็ก</t>
  </si>
  <si>
    <t>ราชสุวัน</t>
  </si>
  <si>
    <t>เสมย</t>
  </si>
  <si>
    <t>เมินโส</t>
  </si>
  <si>
    <t>จิรัชญา</t>
  </si>
  <si>
    <t>อินทไทร</t>
  </si>
  <si>
    <t>โล่ห์เส็ง</t>
  </si>
  <si>
    <t>โพธิ์น้อย</t>
  </si>
  <si>
    <t>ปานอ่วม</t>
  </si>
  <si>
    <t>ณีรภัสร์</t>
  </si>
  <si>
    <t>เกตุคง</t>
  </si>
  <si>
    <t>หอมนาน</t>
  </si>
  <si>
    <t>สมบูรณ์</t>
  </si>
  <si>
    <t>ทานทอด</t>
  </si>
  <si>
    <t>บุญเทียร</t>
  </si>
  <si>
    <t>แหวนจีน</t>
  </si>
  <si>
    <t>กฤษตภาส</t>
  </si>
  <si>
    <t>พิมภุก</t>
  </si>
  <si>
    <t>พนาลี</t>
  </si>
  <si>
    <t>วันเพ็ญ</t>
  </si>
  <si>
    <t>บุตรโคตร</t>
  </si>
  <si>
    <t>สำรวย</t>
  </si>
  <si>
    <t>ชนไธสง</t>
  </si>
  <si>
    <t>บุญเกิด</t>
  </si>
  <si>
    <t>มุ่งต่อ</t>
  </si>
  <si>
    <t>อรุณี</t>
  </si>
  <si>
    <t>โจมรัมย์</t>
  </si>
  <si>
    <t>สุภัคคพิพัฒน์</t>
  </si>
  <si>
    <t>ศรภักดี</t>
  </si>
  <si>
    <t>จันทร์เพ็ญ</t>
  </si>
  <si>
    <t>ขันขวา</t>
  </si>
  <si>
    <t>เอื้อมพร</t>
  </si>
  <si>
    <t>ใจแก้ว</t>
  </si>
  <si>
    <t>สุพัฒน์โชค</t>
  </si>
  <si>
    <t>เมืองโคตร</t>
  </si>
  <si>
    <t>เฉลียว</t>
  </si>
  <si>
    <t>นามเสาร์</t>
  </si>
  <si>
    <t>อุไรวรรณ</t>
  </si>
  <si>
    <t>นามวิชา</t>
  </si>
  <si>
    <t>แสงเดือน</t>
  </si>
  <si>
    <t>อภัยภักดิ์</t>
  </si>
  <si>
    <t>สาโรจน์</t>
  </si>
  <si>
    <t>ภัชรินทร์</t>
  </si>
  <si>
    <t>สาดแสง</t>
  </si>
  <si>
    <t>อัจฉรา</t>
  </si>
  <si>
    <t>พิศอ่อน</t>
  </si>
  <si>
    <t>ชะนะบุญ</t>
  </si>
  <si>
    <t>นกทอง</t>
  </si>
  <si>
    <t>เมธา</t>
  </si>
  <si>
    <t>พัฒนาวิเชษฐ์</t>
  </si>
  <si>
    <t>พิบูรณ์</t>
  </si>
  <si>
    <t>ฉอ้อนศรี</t>
  </si>
  <si>
    <t>พัชรี</t>
  </si>
  <si>
    <t>กล่ำนาก</t>
  </si>
  <si>
    <t>ปราณี</t>
  </si>
  <si>
    <t>กองอินตา</t>
  </si>
  <si>
    <t>ปนัดดา</t>
  </si>
  <si>
    <t>น้อยเสนา</t>
  </si>
  <si>
    <t>สนั่น</t>
  </si>
  <si>
    <t>เทียมม่วง</t>
  </si>
  <si>
    <t>สยาม</t>
  </si>
  <si>
    <t>สุริยา</t>
  </si>
  <si>
    <t>อรุณ</t>
  </si>
  <si>
    <t>คำหลอม</t>
  </si>
  <si>
    <t>ผึ้ง</t>
  </si>
  <si>
    <t>ทองมนต์</t>
  </si>
  <si>
    <t>ทองมี</t>
  </si>
  <si>
    <t>แท่นคำ</t>
  </si>
  <si>
    <t>สำลี</t>
  </si>
  <si>
    <t>ชมภู</t>
  </si>
  <si>
    <t>อุดร</t>
  </si>
  <si>
    <t>อรพิมพ์</t>
  </si>
  <si>
    <t>กรมแสง</t>
  </si>
  <si>
    <t>พรรณี</t>
  </si>
  <si>
    <t>วงษ์เล็ก</t>
  </si>
  <si>
    <t>อนุชา</t>
  </si>
  <si>
    <t>เจริญผล</t>
  </si>
  <si>
    <t>ศุภชา</t>
  </si>
  <si>
    <t>เตียงงา</t>
  </si>
  <si>
    <t>พิเชษฐ</t>
  </si>
  <si>
    <t>สำเภาพงษ์</t>
  </si>
  <si>
    <t>แจ้งสว่าง</t>
  </si>
  <si>
    <t>โพธารส</t>
  </si>
  <si>
    <t>อมร</t>
  </si>
  <si>
    <t>จีนชัยภูมิ</t>
  </si>
  <si>
    <t>ดิเรก</t>
  </si>
  <si>
    <t>ยาวาปี</t>
  </si>
  <si>
    <t>บุดดาลี</t>
  </si>
  <si>
    <t>รุจิรา</t>
  </si>
  <si>
    <t>สายกระสุน</t>
  </si>
  <si>
    <t>จีรพันธ์</t>
  </si>
  <si>
    <t>สินีนาฎ</t>
  </si>
  <si>
    <t>เพ็ญจันทร์</t>
  </si>
  <si>
    <t>เพลินจิต</t>
  </si>
  <si>
    <t>ลาเลย</t>
  </si>
  <si>
    <t>ราตรี</t>
  </si>
  <si>
    <t>ไสว</t>
  </si>
  <si>
    <t>ศรีสถาน</t>
  </si>
  <si>
    <t>วิลัยวรรณ</t>
  </si>
  <si>
    <t>ปวนนิ้ว</t>
  </si>
  <si>
    <t>ฉันทะ</t>
  </si>
  <si>
    <t>แสนโคตร</t>
  </si>
  <si>
    <t>นุชนาถ</t>
  </si>
  <si>
    <t>มากมาย</t>
  </si>
  <si>
    <t>ณรงค์ชัย</t>
  </si>
  <si>
    <t>ปทิดา</t>
  </si>
  <si>
    <t>เลิศศิริมาลัย</t>
  </si>
  <si>
    <t>เทพพร</t>
  </si>
  <si>
    <t>โพธิวัฒน์</t>
  </si>
  <si>
    <t>สุภวรรณ</t>
  </si>
  <si>
    <t>หัวรักกิจ</t>
  </si>
  <si>
    <t>สาทิตย์</t>
  </si>
  <si>
    <t>ปั้นขอม</t>
  </si>
  <si>
    <t>อ้อยทิพย์</t>
  </si>
  <si>
    <t>คำภาจันทร์</t>
  </si>
  <si>
    <t>รัฐภูมิ</t>
  </si>
  <si>
    <t>แปงใจ</t>
  </si>
  <si>
    <t>อนันท์</t>
  </si>
  <si>
    <t>ฐิติกาญจน์</t>
  </si>
  <si>
    <t>ดีเจริญ</t>
  </si>
  <si>
    <t>สมพิศ</t>
  </si>
  <si>
    <t>สุวิมล</t>
  </si>
  <si>
    <t>น้อยแก้ว</t>
  </si>
  <si>
    <t>เดชชัย</t>
  </si>
  <si>
    <t>คุณสุทธิ์</t>
  </si>
  <si>
    <t>จินตนา</t>
  </si>
  <si>
    <t>แสงสว่าง</t>
  </si>
  <si>
    <t>ณราวุธ</t>
  </si>
  <si>
    <t>ณัษฐาภรณ์</t>
  </si>
  <si>
    <t>ชุดไธสง</t>
  </si>
  <si>
    <t>สุคนธา</t>
  </si>
  <si>
    <t>นฤมล</t>
  </si>
  <si>
    <t>อรรคจันทร์</t>
  </si>
  <si>
    <t>สุดคุ้ม</t>
  </si>
  <si>
    <t>ผลประโยชน์ที่ต้องจ่ายตาม พ.ร.บ. คุ้มครองแรงงาน (ม.118)</t>
  </si>
  <si>
    <t>ระยะเวลาการทำงาน</t>
  </si>
  <si>
    <t>เงินชดเชยฯ</t>
  </si>
  <si>
    <t>ช่วงอายุงาน</t>
  </si>
  <si>
    <t>อายุ</t>
  </si>
  <si>
    <t>(เดือน)</t>
  </si>
  <si>
    <t xml:space="preserve">ไม่ถึง 120 วัน </t>
  </si>
  <si>
    <t xml:space="preserve">120 วัน แต่ไม่ถึง 1 ปี </t>
  </si>
  <si>
    <t>1 ปี แต่ไม่ถึง 3 ปี</t>
  </si>
  <si>
    <t>3 ปี แต่ไม่ถึง 6 ปี</t>
  </si>
  <si>
    <t>6 ปี แต่ไม่ถึง 10 ปี</t>
  </si>
  <si>
    <t>10 ปี แต่ไม่ถึง 20ปี</t>
  </si>
  <si>
    <t>20 ปีขึ้นไป</t>
  </si>
  <si>
    <t>% ความน่าจะเป็นที่บริษัทจะต้องจ่ายผลประโยชน์พนักงาน</t>
  </si>
  <si>
    <t>ช่วงอายุต่ำ</t>
  </si>
  <si>
    <t>ช่วงอายุสูง</t>
  </si>
  <si>
    <t>ความน่าจะเป็น</t>
  </si>
  <si>
    <t>น้อยกว่าหรือเท่ากับ 30</t>
  </si>
  <si>
    <t>31-40</t>
  </si>
  <si>
    <t>41-45</t>
  </si>
  <si>
    <t>46-50</t>
  </si>
  <si>
    <t>51-55</t>
  </si>
  <si>
    <t>55-60</t>
  </si>
  <si>
    <t>สถานะ</t>
  </si>
  <si>
    <t>รหัสพนักงาน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</si>
</sst>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4"/>
      <name val="Angsana New"/>
      <family val="1"/>
    </font>
    <font>
      <sz val="10"/>
      <name val="Arial"/>
      <family val="2"/>
    </font>
    <font>
      <sz val="14"/>
      <name val="Angsana New"/>
      <family val="1"/>
    </font>
    <font>
      <sz val="8"/>
      <color rgb="FF0F1115"/>
      <name val="Segoe UI"/>
      <family val="2"/>
    </font>
    <font>
      <sz val="14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color indexed="8"/>
      <name val="MS Sans Serif"/>
      <family val="2"/>
      <charset val="222"/>
    </font>
    <font>
      <b/>
      <sz val="11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sz val="11"/>
      <name val="Arial Narrow"/>
      <family val="2"/>
    </font>
    <font>
      <b/>
      <sz val="16"/>
      <name val="Angsana New"/>
      <family val="1"/>
    </font>
    <font>
      <sz val="16"/>
      <name val="Angsana New"/>
      <family val="1"/>
    </font>
    <font>
      <sz val="16"/>
      <name val="Angsana New"/>
      <family val="1"/>
      <charset val="222"/>
    </font>
    <font>
      <b/>
      <u/>
      <sz val="16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4" fillId="0" borderId="0"/>
    <xf numFmtId="0" fontId="1" fillId="0" borderId="0" applyFont="0" applyFill="0" applyBorder="0" applyAlignment="0" applyProtection="0"/>
    <xf numFmtId="0" fontId="8" fillId="0" borderId="0"/>
    <xf numFmtId="0" fontId="13" fillId="0" borderId="0"/>
    <xf numFmtId="9" fontId="13" fillId="0" borderId="0" applyFill="0" applyBorder="0" applyAlignment="0" applyProtection="0"/>
    <xf numFmtId="43" fontId="8" fillId="0" borderId="0" applyFont="0" applyFill="0" applyBorder="0" applyAlignment="0" applyProtection="0"/>
  </cellStyleXfs>
  <cellXfs count="78">
    <xf numFmtId="0" fontId="0" fillId="0" borderId="0" xfId="0"/>
    <xf numFmtId="0" fontId="3" fillId="0" borderId="1" xfId="1" applyFont="1" applyBorder="1" applyAlignment="1">
      <alignment horizontal="center"/>
    </xf>
    <xf numFmtId="0" fontId="6" fillId="2" borderId="1" xfId="0" applyFont="1" applyFill="1" applyBorder="1" applyAlignment="1">
      <alignment horizontal="right" vertical="center" wrapText="1" indent="1"/>
    </xf>
    <xf numFmtId="0" fontId="9" fillId="0" borderId="0" xfId="4" applyFont="1"/>
    <xf numFmtId="0" fontId="10" fillId="0" borderId="0" xfId="4" applyFont="1" applyAlignment="1">
      <alignment vertic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 vertical="center"/>
    </xf>
    <xf numFmtId="0" fontId="12" fillId="0" borderId="0" xfId="4" applyFont="1"/>
    <xf numFmtId="0" fontId="8" fillId="0" borderId="0" xfId="4"/>
    <xf numFmtId="0" fontId="10" fillId="3" borderId="2" xfId="5" applyFont="1" applyFill="1" applyBorder="1" applyAlignment="1">
      <alignment horizontal="left" vertical="center"/>
    </xf>
    <xf numFmtId="14" fontId="10" fillId="4" borderId="3" xfId="6" applyNumberFormat="1" applyFont="1" applyFill="1" applyBorder="1" applyAlignment="1" applyProtection="1">
      <alignment horizontal="center" vertical="center"/>
    </xf>
    <xf numFmtId="9" fontId="10" fillId="4" borderId="3" xfId="6" applyFont="1" applyFill="1" applyBorder="1" applyAlignment="1" applyProtection="1">
      <alignment horizontal="center" vertical="center"/>
    </xf>
    <xf numFmtId="0" fontId="10" fillId="3" borderId="2" xfId="4" applyFont="1" applyFill="1" applyBorder="1"/>
    <xf numFmtId="0" fontId="10" fillId="4" borderId="3" xfId="4" applyFont="1" applyFill="1" applyBorder="1" applyAlignment="1">
      <alignment horizontal="center"/>
    </xf>
    <xf numFmtId="0" fontId="15" fillId="0" borderId="1" xfId="4" applyFont="1" applyBorder="1" applyAlignment="1">
      <alignment horizontal="center" vertical="center" wrapText="1"/>
    </xf>
    <xf numFmtId="0" fontId="11" fillId="4" borderId="1" xfId="4" applyFont="1" applyFill="1" applyBorder="1" applyAlignment="1">
      <alignment horizontal="center" vertical="center"/>
    </xf>
    <xf numFmtId="0" fontId="16" fillId="4" borderId="1" xfId="4" applyFont="1" applyFill="1" applyBorder="1" applyAlignment="1">
      <alignment horizontal="center" vertical="center" wrapText="1"/>
    </xf>
    <xf numFmtId="14" fontId="16" fillId="4" borderId="3" xfId="4" applyNumberFormat="1" applyFont="1" applyFill="1" applyBorder="1" applyAlignment="1">
      <alignment horizontal="center" vertical="center" wrapText="1"/>
    </xf>
    <xf numFmtId="14" fontId="16" fillId="4" borderId="1" xfId="4" applyNumberFormat="1" applyFont="1" applyFill="1" applyBorder="1" applyAlignment="1">
      <alignment horizontal="center" vertical="center" wrapText="1"/>
    </xf>
    <xf numFmtId="164" fontId="11" fillId="4" borderId="1" xfId="7" applyNumberFormat="1" applyFont="1" applyFill="1" applyBorder="1" applyAlignment="1">
      <alignment horizontal="center" vertical="center"/>
    </xf>
    <xf numFmtId="165" fontId="11" fillId="4" borderId="1" xfId="4" applyNumberFormat="1" applyFont="1" applyFill="1" applyBorder="1" applyAlignment="1">
      <alignment horizontal="center" vertical="center"/>
    </xf>
    <xf numFmtId="3" fontId="11" fillId="4" borderId="1" xfId="4" applyNumberFormat="1" applyFont="1" applyFill="1" applyBorder="1" applyAlignment="1">
      <alignment horizontal="center" vertical="center"/>
    </xf>
    <xf numFmtId="43" fontId="11" fillId="4" borderId="1" xfId="7" applyFont="1" applyFill="1" applyBorder="1" applyAlignment="1">
      <alignment horizontal="center" vertical="center"/>
    </xf>
    <xf numFmtId="9" fontId="17" fillId="4" borderId="1" xfId="4" applyNumberFormat="1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/>
    </xf>
    <xf numFmtId="0" fontId="17" fillId="4" borderId="1" xfId="4" applyFont="1" applyFill="1" applyBorder="1" applyAlignment="1">
      <alignment wrapText="1"/>
    </xf>
    <xf numFmtId="0" fontId="12" fillId="0" borderId="1" xfId="4" applyFont="1" applyBorder="1"/>
    <xf numFmtId="14" fontId="17" fillId="4" borderId="3" xfId="4" applyNumberFormat="1" applyFont="1" applyFill="1" applyBorder="1" applyAlignment="1">
      <alignment wrapText="1"/>
    </xf>
    <xf numFmtId="14" fontId="17" fillId="4" borderId="1" xfId="4" applyNumberFormat="1" applyFont="1" applyFill="1" applyBorder="1" applyAlignment="1">
      <alignment wrapText="1"/>
    </xf>
    <xf numFmtId="164" fontId="17" fillId="4" borderId="1" xfId="7" applyNumberFormat="1" applyFont="1" applyFill="1" applyBorder="1"/>
    <xf numFmtId="165" fontId="17" fillId="4" borderId="1" xfId="4" applyNumberFormat="1" applyFont="1" applyFill="1" applyBorder="1" applyAlignment="1">
      <alignment horizontal="center" vertical="center"/>
    </xf>
    <xf numFmtId="0" fontId="17" fillId="4" borderId="1" xfId="4" applyFont="1" applyFill="1" applyBorder="1" applyAlignment="1">
      <alignment horizontal="center" vertical="center"/>
    </xf>
    <xf numFmtId="43" fontId="17" fillId="4" borderId="1" xfId="7" applyFont="1" applyFill="1" applyBorder="1" applyAlignment="1">
      <alignment horizontal="center" vertical="center"/>
    </xf>
    <xf numFmtId="43" fontId="17" fillId="4" borderId="1" xfId="7" applyFont="1" applyFill="1" applyBorder="1" applyAlignment="1">
      <alignment wrapText="1"/>
    </xf>
    <xf numFmtId="3" fontId="17" fillId="4" borderId="1" xfId="4" applyNumberFormat="1" applyFont="1" applyFill="1" applyBorder="1" applyAlignment="1">
      <alignment wrapText="1"/>
    </xf>
    <xf numFmtId="4" fontId="17" fillId="4" borderId="1" xfId="4" applyNumberFormat="1" applyFont="1" applyFill="1" applyBorder="1" applyAlignment="1">
      <alignment wrapText="1"/>
    </xf>
    <xf numFmtId="14" fontId="17" fillId="4" borderId="5" xfId="4" applyNumberFormat="1" applyFont="1" applyFill="1" applyBorder="1" applyAlignment="1">
      <alignment wrapText="1"/>
    </xf>
    <xf numFmtId="14" fontId="17" fillId="4" borderId="6" xfId="4" applyNumberFormat="1" applyFont="1" applyFill="1" applyBorder="1" applyAlignment="1">
      <alignment wrapText="1"/>
    </xf>
    <xf numFmtId="164" fontId="17" fillId="4" borderId="7" xfId="7" applyNumberFormat="1" applyFont="1" applyFill="1" applyBorder="1"/>
    <xf numFmtId="164" fontId="18" fillId="4" borderId="1" xfId="7" applyNumberFormat="1" applyFont="1" applyFill="1" applyBorder="1"/>
    <xf numFmtId="0" fontId="5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3" fontId="5" fillId="0" borderId="1" xfId="3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49" fontId="5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4" fontId="17" fillId="4" borderId="8" xfId="4" applyNumberFormat="1" applyFont="1" applyFill="1" applyBorder="1" applyAlignment="1">
      <alignment wrapText="1"/>
    </xf>
    <xf numFmtId="0" fontId="17" fillId="4" borderId="9" xfId="4" applyFont="1" applyFill="1" applyBorder="1" applyAlignment="1">
      <alignment wrapText="1"/>
    </xf>
    <xf numFmtId="0" fontId="12" fillId="0" borderId="9" xfId="4" applyFont="1" applyBorder="1"/>
    <xf numFmtId="14" fontId="17" fillId="4" borderId="10" xfId="4" applyNumberFormat="1" applyFont="1" applyFill="1" applyBorder="1" applyAlignment="1">
      <alignment wrapText="1"/>
    </xf>
    <xf numFmtId="0" fontId="8" fillId="0" borderId="1" xfId="4" applyBorder="1"/>
    <xf numFmtId="0" fontId="19" fillId="0" borderId="0" xfId="4" applyFont="1"/>
    <xf numFmtId="0" fontId="20" fillId="0" borderId="0" xfId="4" applyFont="1" applyAlignment="1">
      <alignment vertical="center"/>
    </xf>
    <xf numFmtId="0" fontId="20" fillId="0" borderId="0" xfId="4" applyFont="1"/>
    <xf numFmtId="0" fontId="19" fillId="0" borderId="9" xfId="4" applyFont="1" applyBorder="1" applyAlignment="1">
      <alignment horizontal="center"/>
    </xf>
    <xf numFmtId="0" fontId="20" fillId="0" borderId="1" xfId="4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19" fillId="0" borderId="11" xfId="4" applyFont="1" applyBorder="1" applyAlignment="1">
      <alignment horizontal="center"/>
    </xf>
    <xf numFmtId="0" fontId="21" fillId="0" borderId="11" xfId="4" applyFont="1" applyBorder="1" applyAlignment="1">
      <alignment horizontal="center"/>
    </xf>
    <xf numFmtId="0" fontId="20" fillId="0" borderId="1" xfId="4" applyFont="1" applyBorder="1" applyAlignment="1">
      <alignment horizontal="center"/>
    </xf>
    <xf numFmtId="0" fontId="22" fillId="0" borderId="12" xfId="4" applyFont="1" applyBorder="1" applyAlignment="1">
      <alignment horizontal="left" vertical="center"/>
    </xf>
    <xf numFmtId="0" fontId="20" fillId="0" borderId="7" xfId="4" applyFont="1" applyBorder="1" applyAlignment="1">
      <alignment horizontal="center" vertical="center"/>
    </xf>
    <xf numFmtId="0" fontId="20" fillId="0" borderId="7" xfId="4" applyFont="1" applyBorder="1"/>
    <xf numFmtId="0" fontId="20" fillId="0" borderId="13" xfId="4" applyFont="1" applyBorder="1"/>
    <xf numFmtId="0" fontId="22" fillId="0" borderId="14" xfId="4" applyFont="1" applyBorder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2" fillId="0" borderId="15" xfId="4" applyFont="1" applyBorder="1" applyAlignment="1">
      <alignment horizontal="right"/>
    </xf>
    <xf numFmtId="9" fontId="20" fillId="0" borderId="1" xfId="4" applyNumberFormat="1" applyFont="1" applyBorder="1"/>
    <xf numFmtId="9" fontId="20" fillId="0" borderId="1" xfId="4" applyNumberFormat="1" applyFont="1" applyBorder="1" applyAlignment="1">
      <alignment horizontal="right"/>
    </xf>
    <xf numFmtId="0" fontId="0" fillId="0" borderId="1" xfId="0" applyBorder="1"/>
    <xf numFmtId="0" fontId="14" fillId="5" borderId="4" xfId="4" applyFont="1" applyFill="1" applyBorder="1" applyAlignment="1">
      <alignment horizontal="center" vertical="center"/>
    </xf>
    <xf numFmtId="0" fontId="15" fillId="6" borderId="4" xfId="4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0" fontId="20" fillId="0" borderId="1" xfId="4" applyFont="1" applyBorder="1" applyAlignment="1">
      <alignment horizontal="center" vertical="center"/>
    </xf>
    <xf numFmtId="0" fontId="11" fillId="0" borderId="9" xfId="4" applyFont="1" applyBorder="1" applyAlignment="1">
      <alignment horizontal="center"/>
    </xf>
  </cellXfs>
  <cellStyles count="8">
    <cellStyle name="Comma 2" xfId="3" xr:uid="{9EF9E38A-55A5-4786-9833-BE3D2DA2AC10}"/>
    <cellStyle name="Comma 3" xfId="7" xr:uid="{CE9B9F7C-0CD5-4542-A6C5-D2A62280E6FC}"/>
    <cellStyle name="Normal" xfId="0" builtinId="0"/>
    <cellStyle name="Normal 2" xfId="2" xr:uid="{C3C38E5D-0C49-4A82-934E-73D9A9F4B7F4}"/>
    <cellStyle name="Normal 2 2" xfId="5" xr:uid="{C674D674-392C-4392-8455-087D8BE51D3F}"/>
    <cellStyle name="Normal 3" xfId="4" xr:uid="{BE4301F1-C378-4359-83BF-ADC1E90A5155}"/>
    <cellStyle name="Percent 2" xfId="6" xr:uid="{AEAB174E-C35C-46AC-811C-3D68164BD22B}"/>
    <cellStyle name="ปกติ_Sheet1" xfId="1" xr:uid="{AD1E6A6F-4800-4978-8DC8-B71149BE4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Serichai\program\Employee_Benefit_Calculation\Serichai_Employee_Benefit.xlsx" TargetMode="External"/><Relationship Id="rId1" Type="http://schemas.openxmlformats.org/officeDocument/2006/relationships/externalLinkPath" Target="Serichai_Employee_Benef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ตัวอย่าง"/>
      <sheetName val="เสรีชัย66"/>
      <sheetName val="พนักงานที่ออก66"/>
      <sheetName val="เสรีชัย67-ใช้ปีเกษียร"/>
      <sheetName val="เสรีชัย67-ใช้ปีทำงาน"/>
      <sheetName val="ผลประโยช์นพนักงาน"/>
      <sheetName val="เรียงตามอายุ"/>
      <sheetName val="สูต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>
            <v>0.33</v>
          </cell>
          <cell r="B5">
            <v>1</v>
          </cell>
          <cell r="C5" t="str">
            <v xml:space="preserve">120 วัน แต่ไม่ถึง 1 ปี </v>
          </cell>
          <cell r="D5">
            <v>1</v>
          </cell>
        </row>
        <row r="6">
          <cell r="A6">
            <v>2</v>
          </cell>
          <cell r="B6">
            <v>2</v>
          </cell>
          <cell r="C6" t="str">
            <v>1 ปี แต่ไม่ถึง 3 ปี</v>
          </cell>
          <cell r="D6">
            <v>3</v>
          </cell>
        </row>
        <row r="7">
          <cell r="A7">
            <v>3</v>
          </cell>
          <cell r="B7">
            <v>5</v>
          </cell>
          <cell r="C7" t="str">
            <v>3 ปี แต่ไม่ถึง 6 ปี</v>
          </cell>
          <cell r="D7">
            <v>6</v>
          </cell>
        </row>
        <row r="8">
          <cell r="A8">
            <v>6</v>
          </cell>
          <cell r="B8">
            <v>9</v>
          </cell>
          <cell r="C8" t="str">
            <v>6 ปี แต่ไม่ถึง 10 ปี</v>
          </cell>
          <cell r="D8">
            <v>8</v>
          </cell>
        </row>
        <row r="9">
          <cell r="A9">
            <v>10</v>
          </cell>
          <cell r="B9">
            <v>19</v>
          </cell>
          <cell r="C9" t="str">
            <v>10 ปี แต่ไม่ถึง 20ปี</v>
          </cell>
          <cell r="D9">
            <v>10</v>
          </cell>
        </row>
        <row r="10">
          <cell r="A10">
            <v>20</v>
          </cell>
          <cell r="B10"/>
          <cell r="C10" t="str">
            <v>20 ปีขึ้นไป</v>
          </cell>
          <cell r="D10">
            <v>13.33</v>
          </cell>
        </row>
        <row r="14">
          <cell r="A14">
            <v>1</v>
          </cell>
          <cell r="B14">
            <v>30</v>
          </cell>
          <cell r="C14" t="str">
            <v>น้อยกว่าหรือเท่ากับ 30</v>
          </cell>
          <cell r="D14">
            <v>0</v>
          </cell>
        </row>
        <row r="15">
          <cell r="A15">
            <v>31</v>
          </cell>
          <cell r="B15">
            <v>40</v>
          </cell>
          <cell r="C15" t="str">
            <v>31-40</v>
          </cell>
          <cell r="D15">
            <v>0.2</v>
          </cell>
        </row>
        <row r="16">
          <cell r="A16">
            <v>41</v>
          </cell>
          <cell r="B16">
            <v>45</v>
          </cell>
          <cell r="C16" t="str">
            <v>41-45</v>
          </cell>
          <cell r="D16">
            <v>0.5</v>
          </cell>
        </row>
        <row r="17">
          <cell r="A17">
            <v>46</v>
          </cell>
          <cell r="B17">
            <v>50</v>
          </cell>
          <cell r="C17" t="str">
            <v>46-50</v>
          </cell>
          <cell r="D17">
            <v>0.6</v>
          </cell>
        </row>
        <row r="18">
          <cell r="A18">
            <v>51</v>
          </cell>
          <cell r="B18">
            <v>55</v>
          </cell>
          <cell r="C18" t="str">
            <v>51-55</v>
          </cell>
          <cell r="D18">
            <v>0.9</v>
          </cell>
        </row>
        <row r="19">
          <cell r="A19">
            <v>55</v>
          </cell>
          <cell r="B19">
            <v>60</v>
          </cell>
          <cell r="C19" t="str">
            <v>55-60</v>
          </cell>
          <cell r="D1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94E1-0756-41CF-853E-63EB61BE77A4}">
  <dimension ref="A1:I90"/>
  <sheetViews>
    <sheetView tabSelected="1" workbookViewId="0">
      <selection activeCell="L7" sqref="L7"/>
    </sheetView>
  </sheetViews>
  <sheetFormatPr defaultRowHeight="14.5"/>
  <cols>
    <col min="2" max="2" width="10.36328125" bestFit="1" customWidth="1"/>
    <col min="7" max="7" width="10.36328125" bestFit="1" customWidth="1"/>
    <col min="9" max="9" width="10.36328125" bestFit="1" customWidth="1"/>
  </cols>
  <sheetData>
    <row r="1" spans="1:9" ht="20.5" customHeight="1">
      <c r="A1" s="1" t="s">
        <v>0</v>
      </c>
      <c r="B1" s="1" t="s">
        <v>436</v>
      </c>
      <c r="C1" s="1" t="s">
        <v>1</v>
      </c>
      <c r="D1" s="1" t="s">
        <v>2</v>
      </c>
      <c r="E1" s="1" t="s">
        <v>3</v>
      </c>
      <c r="F1" s="1" t="s">
        <v>154</v>
      </c>
      <c r="G1" s="1" t="s">
        <v>176</v>
      </c>
      <c r="H1" s="1" t="s">
        <v>155</v>
      </c>
      <c r="I1" s="1" t="s">
        <v>435</v>
      </c>
    </row>
    <row r="2" spans="1:9" ht="20">
      <c r="A2" s="40">
        <v>1</v>
      </c>
      <c r="B2" s="40"/>
      <c r="C2" s="2" t="s">
        <v>4</v>
      </c>
      <c r="D2" s="2" t="s">
        <v>5</v>
      </c>
      <c r="E2" s="41" t="s">
        <v>6</v>
      </c>
      <c r="F2" s="42">
        <v>14900</v>
      </c>
      <c r="G2" s="42"/>
      <c r="H2" s="43">
        <v>237956</v>
      </c>
      <c r="I2" s="72"/>
    </row>
    <row r="3" spans="1:9" ht="20">
      <c r="A3" s="40">
        <v>2</v>
      </c>
      <c r="B3" s="40"/>
      <c r="C3" s="2" t="s">
        <v>7</v>
      </c>
      <c r="D3" s="2" t="s">
        <v>8</v>
      </c>
      <c r="E3" s="41" t="s">
        <v>9</v>
      </c>
      <c r="F3" s="42">
        <v>13500</v>
      </c>
      <c r="G3" s="42"/>
      <c r="H3" s="43">
        <v>242463</v>
      </c>
      <c r="I3" s="72"/>
    </row>
    <row r="4" spans="1:9" ht="20">
      <c r="A4" s="40">
        <v>3</v>
      </c>
      <c r="B4" s="40"/>
      <c r="C4" s="2" t="s">
        <v>4</v>
      </c>
      <c r="D4" s="2" t="s">
        <v>10</v>
      </c>
      <c r="E4" s="41" t="s">
        <v>11</v>
      </c>
      <c r="F4" s="42">
        <v>20000</v>
      </c>
      <c r="G4" s="42"/>
      <c r="H4" s="43">
        <v>234669</v>
      </c>
      <c r="I4" s="72"/>
    </row>
    <row r="5" spans="1:9" ht="20">
      <c r="A5" s="40">
        <v>4</v>
      </c>
      <c r="B5" s="40"/>
      <c r="C5" s="2" t="s">
        <v>12</v>
      </c>
      <c r="D5" s="2" t="s">
        <v>13</v>
      </c>
      <c r="E5" s="41" t="s">
        <v>14</v>
      </c>
      <c r="F5" s="44" t="s">
        <v>156</v>
      </c>
      <c r="G5" s="44"/>
      <c r="H5" s="43">
        <v>235272</v>
      </c>
      <c r="I5" s="72"/>
    </row>
    <row r="6" spans="1:9" ht="20">
      <c r="A6" s="40">
        <v>5</v>
      </c>
      <c r="B6" s="40"/>
      <c r="C6" s="2" t="s">
        <v>12</v>
      </c>
      <c r="D6" s="2" t="s">
        <v>15</v>
      </c>
      <c r="E6" s="41" t="s">
        <v>16</v>
      </c>
      <c r="F6" s="44" t="s">
        <v>157</v>
      </c>
      <c r="G6" s="44"/>
      <c r="H6" s="43">
        <v>243871</v>
      </c>
      <c r="I6" s="72"/>
    </row>
    <row r="7" spans="1:9" ht="20">
      <c r="A7" s="40">
        <v>6</v>
      </c>
      <c r="B7" s="40"/>
      <c r="C7" s="2" t="s">
        <v>12</v>
      </c>
      <c r="D7" s="2" t="s">
        <v>17</v>
      </c>
      <c r="E7" s="41" t="s">
        <v>18</v>
      </c>
      <c r="F7" s="44" t="s">
        <v>158</v>
      </c>
      <c r="G7" s="44"/>
      <c r="H7" s="43">
        <v>243740</v>
      </c>
      <c r="I7" s="72"/>
    </row>
    <row r="8" spans="1:9" ht="20">
      <c r="A8" s="40">
        <v>7</v>
      </c>
      <c r="B8" s="40"/>
      <c r="C8" s="2" t="s">
        <v>4</v>
      </c>
      <c r="D8" s="2" t="s">
        <v>19</v>
      </c>
      <c r="E8" s="41" t="s">
        <v>20</v>
      </c>
      <c r="F8" s="44" t="s">
        <v>158</v>
      </c>
      <c r="G8" s="44"/>
      <c r="H8" s="43">
        <v>238512</v>
      </c>
      <c r="I8" s="72"/>
    </row>
    <row r="9" spans="1:9" ht="20">
      <c r="A9" s="40">
        <v>8</v>
      </c>
      <c r="B9" s="40"/>
      <c r="C9" s="2" t="s">
        <v>4</v>
      </c>
      <c r="D9" s="2" t="s">
        <v>21</v>
      </c>
      <c r="E9" s="41" t="s">
        <v>22</v>
      </c>
      <c r="F9" s="44" t="s">
        <v>159</v>
      </c>
      <c r="G9" s="44"/>
      <c r="H9" s="43">
        <v>240984</v>
      </c>
      <c r="I9" s="72"/>
    </row>
    <row r="10" spans="1:9" ht="20">
      <c r="A10" s="40">
        <v>9</v>
      </c>
      <c r="B10" s="40"/>
      <c r="C10" s="2" t="s">
        <v>12</v>
      </c>
      <c r="D10" s="2" t="s">
        <v>23</v>
      </c>
      <c r="E10" s="41" t="s">
        <v>24</v>
      </c>
      <c r="F10" s="44" t="s">
        <v>158</v>
      </c>
      <c r="G10" s="44"/>
      <c r="H10" s="43">
        <v>242303</v>
      </c>
      <c r="I10" s="72"/>
    </row>
    <row r="11" spans="1:9" ht="20">
      <c r="A11" s="40">
        <v>10</v>
      </c>
      <c r="B11" s="40"/>
      <c r="C11" s="2" t="s">
        <v>7</v>
      </c>
      <c r="D11" s="2" t="s">
        <v>25</v>
      </c>
      <c r="E11" s="41" t="s">
        <v>26</v>
      </c>
      <c r="F11" s="44" t="s">
        <v>160</v>
      </c>
      <c r="G11" s="44"/>
      <c r="H11" s="43">
        <v>235354</v>
      </c>
      <c r="I11" s="72"/>
    </row>
    <row r="12" spans="1:9" ht="20">
      <c r="A12" s="40">
        <v>11</v>
      </c>
      <c r="B12" s="40"/>
      <c r="C12" s="2" t="s">
        <v>12</v>
      </c>
      <c r="D12" s="2" t="s">
        <v>27</v>
      </c>
      <c r="E12" s="41" t="s">
        <v>28</v>
      </c>
      <c r="F12" s="44" t="s">
        <v>161</v>
      </c>
      <c r="G12" s="44"/>
      <c r="H12" s="43">
        <v>235093</v>
      </c>
      <c r="I12" s="72"/>
    </row>
    <row r="13" spans="1:9" ht="20">
      <c r="A13" s="40">
        <v>12</v>
      </c>
      <c r="B13" s="40"/>
      <c r="C13" s="2" t="s">
        <v>12</v>
      </c>
      <c r="D13" s="2" t="s">
        <v>29</v>
      </c>
      <c r="E13" s="41" t="s">
        <v>30</v>
      </c>
      <c r="F13" s="44" t="s">
        <v>162</v>
      </c>
      <c r="G13" s="44"/>
      <c r="H13" s="43">
        <v>241571</v>
      </c>
      <c r="I13" s="72"/>
    </row>
    <row r="14" spans="1:9" ht="20">
      <c r="A14" s="40">
        <v>13</v>
      </c>
      <c r="B14" s="40"/>
      <c r="C14" s="2" t="s">
        <v>12</v>
      </c>
      <c r="D14" s="2" t="s">
        <v>31</v>
      </c>
      <c r="E14" s="41" t="s">
        <v>32</v>
      </c>
      <c r="F14" s="44" t="s">
        <v>163</v>
      </c>
      <c r="G14" s="44"/>
      <c r="H14" s="43">
        <v>243257</v>
      </c>
      <c r="I14" s="72"/>
    </row>
    <row r="15" spans="1:9" ht="20">
      <c r="A15" s="40">
        <v>14</v>
      </c>
      <c r="B15" s="40"/>
      <c r="C15" s="2" t="s">
        <v>12</v>
      </c>
      <c r="D15" s="2" t="s">
        <v>33</v>
      </c>
      <c r="E15" s="41" t="s">
        <v>34</v>
      </c>
      <c r="F15" s="44" t="s">
        <v>164</v>
      </c>
      <c r="G15" s="44"/>
      <c r="H15" s="43">
        <v>240598</v>
      </c>
      <c r="I15" s="72"/>
    </row>
    <row r="16" spans="1:9" ht="20">
      <c r="A16" s="40">
        <v>15</v>
      </c>
      <c r="B16" s="40"/>
      <c r="C16" s="2" t="s">
        <v>12</v>
      </c>
      <c r="D16" s="2" t="s">
        <v>35</v>
      </c>
      <c r="E16" s="41" t="s">
        <v>36</v>
      </c>
      <c r="F16" s="44" t="s">
        <v>158</v>
      </c>
      <c r="G16" s="44"/>
      <c r="H16" s="43">
        <v>243651</v>
      </c>
      <c r="I16" s="72"/>
    </row>
    <row r="17" spans="1:9" ht="20">
      <c r="A17" s="40">
        <v>16</v>
      </c>
      <c r="B17" s="40"/>
      <c r="C17" s="2" t="s">
        <v>12</v>
      </c>
      <c r="D17" s="2" t="s">
        <v>37</v>
      </c>
      <c r="E17" s="41" t="s">
        <v>38</v>
      </c>
      <c r="F17" s="45">
        <v>503</v>
      </c>
      <c r="G17" s="45"/>
      <c r="H17" s="43">
        <v>234856</v>
      </c>
      <c r="I17" s="72"/>
    </row>
    <row r="18" spans="1:9" ht="20">
      <c r="A18" s="40">
        <v>17</v>
      </c>
      <c r="B18" s="40"/>
      <c r="C18" s="2" t="s">
        <v>12</v>
      </c>
      <c r="D18" s="2" t="s">
        <v>39</v>
      </c>
      <c r="E18" s="41" t="s">
        <v>40</v>
      </c>
      <c r="F18" s="45">
        <v>348</v>
      </c>
      <c r="G18" s="45"/>
      <c r="H18" s="43">
        <v>237008</v>
      </c>
      <c r="I18" s="72"/>
    </row>
    <row r="19" spans="1:9" ht="20">
      <c r="A19" s="40">
        <v>18</v>
      </c>
      <c r="B19" s="40"/>
      <c r="C19" s="2" t="s">
        <v>12</v>
      </c>
      <c r="D19" s="2" t="s">
        <v>41</v>
      </c>
      <c r="E19" s="41" t="s">
        <v>42</v>
      </c>
      <c r="F19" s="45">
        <v>388</v>
      </c>
      <c r="G19" s="45"/>
      <c r="H19" s="43">
        <v>233710</v>
      </c>
      <c r="I19" s="72"/>
    </row>
    <row r="20" spans="1:9" ht="20">
      <c r="A20" s="40">
        <v>19</v>
      </c>
      <c r="B20" s="40"/>
      <c r="C20" s="2" t="s">
        <v>12</v>
      </c>
      <c r="D20" s="2" t="s">
        <v>43</v>
      </c>
      <c r="E20" s="41" t="s">
        <v>44</v>
      </c>
      <c r="F20" s="40">
        <v>348</v>
      </c>
      <c r="G20" s="40"/>
      <c r="H20" s="43">
        <v>238512</v>
      </c>
      <c r="I20" s="72"/>
    </row>
    <row r="21" spans="1:9" ht="20">
      <c r="A21" s="40">
        <v>20</v>
      </c>
      <c r="B21" s="40"/>
      <c r="C21" s="2" t="s">
        <v>12</v>
      </c>
      <c r="D21" s="2" t="s">
        <v>45</v>
      </c>
      <c r="E21" s="41" t="s">
        <v>38</v>
      </c>
      <c r="F21" s="44" t="s">
        <v>163</v>
      </c>
      <c r="G21" s="44"/>
      <c r="H21" s="43">
        <v>236410</v>
      </c>
      <c r="I21" s="72"/>
    </row>
    <row r="22" spans="1:9" ht="20">
      <c r="A22" s="40">
        <v>21</v>
      </c>
      <c r="B22" s="40"/>
      <c r="C22" s="2" t="s">
        <v>12</v>
      </c>
      <c r="D22" s="2" t="s">
        <v>46</v>
      </c>
      <c r="E22" s="41" t="s">
        <v>47</v>
      </c>
      <c r="F22" s="44" t="s">
        <v>165</v>
      </c>
      <c r="G22" s="44"/>
      <c r="H22" s="43">
        <v>234889</v>
      </c>
      <c r="I22" s="72"/>
    </row>
    <row r="23" spans="1:9" ht="20">
      <c r="A23" s="40">
        <v>22</v>
      </c>
      <c r="B23" s="40"/>
      <c r="C23" s="2" t="s">
        <v>12</v>
      </c>
      <c r="D23" s="2" t="s">
        <v>48</v>
      </c>
      <c r="E23" s="41" t="s">
        <v>49</v>
      </c>
      <c r="F23" s="40">
        <v>358</v>
      </c>
      <c r="G23" s="40"/>
      <c r="H23" s="43">
        <v>239930</v>
      </c>
      <c r="I23" s="72"/>
    </row>
    <row r="24" spans="1:9" ht="20">
      <c r="A24" s="40">
        <v>23</v>
      </c>
      <c r="B24" s="40"/>
      <c r="C24" s="2" t="s">
        <v>12</v>
      </c>
      <c r="D24" s="2" t="s">
        <v>50</v>
      </c>
      <c r="E24" s="41" t="s">
        <v>51</v>
      </c>
      <c r="F24" s="40">
        <v>358</v>
      </c>
      <c r="G24" s="40"/>
      <c r="H24" s="43">
        <v>240455</v>
      </c>
      <c r="I24" s="72"/>
    </row>
    <row r="25" spans="1:9" ht="20">
      <c r="A25" s="40">
        <v>24</v>
      </c>
      <c r="B25" s="40"/>
      <c r="C25" s="2" t="s">
        <v>12</v>
      </c>
      <c r="D25" s="2" t="s">
        <v>52</v>
      </c>
      <c r="E25" s="41" t="s">
        <v>53</v>
      </c>
      <c r="F25" s="40">
        <v>348</v>
      </c>
      <c r="G25" s="40"/>
      <c r="H25" s="43">
        <v>235928</v>
      </c>
      <c r="I25" s="72"/>
    </row>
    <row r="26" spans="1:9" ht="20">
      <c r="A26" s="40">
        <v>25</v>
      </c>
      <c r="B26" s="40"/>
      <c r="C26" s="2" t="s">
        <v>12</v>
      </c>
      <c r="D26" s="2" t="s">
        <v>54</v>
      </c>
      <c r="E26" s="41" t="s">
        <v>32</v>
      </c>
      <c r="F26" s="40">
        <v>633</v>
      </c>
      <c r="G26" s="40"/>
      <c r="H26" s="43">
        <v>234792</v>
      </c>
      <c r="I26" s="72"/>
    </row>
    <row r="27" spans="1:9" ht="20">
      <c r="A27" s="40">
        <v>26</v>
      </c>
      <c r="B27" s="40"/>
      <c r="C27" s="2" t="s">
        <v>12</v>
      </c>
      <c r="D27" s="2" t="s">
        <v>55</v>
      </c>
      <c r="E27" s="41" t="s">
        <v>56</v>
      </c>
      <c r="F27" s="44" t="s">
        <v>166</v>
      </c>
      <c r="G27" s="44"/>
      <c r="H27" s="43">
        <v>235765</v>
      </c>
      <c r="I27" s="72"/>
    </row>
    <row r="28" spans="1:9" ht="20">
      <c r="A28" s="40">
        <v>27</v>
      </c>
      <c r="B28" s="40"/>
      <c r="C28" s="2" t="s">
        <v>12</v>
      </c>
      <c r="D28" s="2" t="s">
        <v>57</v>
      </c>
      <c r="E28" s="41" t="s">
        <v>58</v>
      </c>
      <c r="F28" s="44" t="s">
        <v>158</v>
      </c>
      <c r="G28" s="44"/>
      <c r="H28" s="43">
        <v>238512</v>
      </c>
      <c r="I28" s="72"/>
    </row>
    <row r="29" spans="1:9" ht="20">
      <c r="A29" s="40">
        <v>28</v>
      </c>
      <c r="B29" s="40"/>
      <c r="C29" s="2" t="s">
        <v>12</v>
      </c>
      <c r="D29" s="2" t="s">
        <v>59</v>
      </c>
      <c r="E29" s="41" t="s">
        <v>36</v>
      </c>
      <c r="F29" s="44" t="s">
        <v>167</v>
      </c>
      <c r="G29" s="44"/>
      <c r="H29" s="43">
        <v>234209</v>
      </c>
      <c r="I29" s="72"/>
    </row>
    <row r="30" spans="1:9" ht="20">
      <c r="A30" s="40">
        <v>29</v>
      </c>
      <c r="B30" s="40"/>
      <c r="C30" s="2" t="s">
        <v>12</v>
      </c>
      <c r="D30" s="2" t="s">
        <v>60</v>
      </c>
      <c r="E30" s="41" t="s">
        <v>61</v>
      </c>
      <c r="F30" s="44" t="s">
        <v>163</v>
      </c>
      <c r="G30" s="44"/>
      <c r="H30" s="43">
        <v>235737</v>
      </c>
      <c r="I30" s="72"/>
    </row>
    <row r="31" spans="1:9" ht="20">
      <c r="A31" s="40">
        <v>30</v>
      </c>
      <c r="B31" s="40"/>
      <c r="C31" s="2" t="s">
        <v>12</v>
      </c>
      <c r="D31" s="2" t="s">
        <v>62</v>
      </c>
      <c r="E31" s="41" t="s">
        <v>63</v>
      </c>
      <c r="F31" s="44" t="s">
        <v>168</v>
      </c>
      <c r="G31" s="44"/>
      <c r="H31" s="43">
        <v>234830</v>
      </c>
      <c r="I31" s="72"/>
    </row>
    <row r="32" spans="1:9" ht="20">
      <c r="A32" s="40">
        <v>31</v>
      </c>
      <c r="B32" s="40"/>
      <c r="C32" s="2" t="s">
        <v>12</v>
      </c>
      <c r="D32" s="2" t="s">
        <v>62</v>
      </c>
      <c r="E32" s="41" t="s">
        <v>64</v>
      </c>
      <c r="F32" s="40">
        <v>348</v>
      </c>
      <c r="G32" s="40"/>
      <c r="H32" s="43">
        <v>235802</v>
      </c>
      <c r="I32" s="72"/>
    </row>
    <row r="33" spans="1:9" ht="20">
      <c r="A33" s="40">
        <v>32</v>
      </c>
      <c r="B33" s="40"/>
      <c r="C33" s="2" t="s">
        <v>12</v>
      </c>
      <c r="D33" s="2" t="s">
        <v>65</v>
      </c>
      <c r="E33" s="41" t="s">
        <v>66</v>
      </c>
      <c r="F33" s="40">
        <v>348</v>
      </c>
      <c r="G33" s="40"/>
      <c r="H33" s="43">
        <v>238420</v>
      </c>
      <c r="I33" s="72"/>
    </row>
    <row r="34" spans="1:9" ht="20">
      <c r="A34" s="40">
        <v>33</v>
      </c>
      <c r="B34" s="40"/>
      <c r="C34" s="2" t="s">
        <v>12</v>
      </c>
      <c r="D34" s="2" t="s">
        <v>67</v>
      </c>
      <c r="E34" s="41" t="s">
        <v>68</v>
      </c>
      <c r="F34" s="44" t="s">
        <v>169</v>
      </c>
      <c r="G34" s="44"/>
      <c r="H34" s="43">
        <v>236534</v>
      </c>
      <c r="I34" s="72"/>
    </row>
    <row r="35" spans="1:9" ht="20">
      <c r="A35" s="40">
        <v>34</v>
      </c>
      <c r="B35" s="40"/>
      <c r="C35" s="2" t="s">
        <v>12</v>
      </c>
      <c r="D35" s="2" t="s">
        <v>69</v>
      </c>
      <c r="E35" s="41" t="s">
        <v>70</v>
      </c>
      <c r="F35" s="44" t="s">
        <v>170</v>
      </c>
      <c r="G35" s="44"/>
      <c r="H35" s="43">
        <v>240422</v>
      </c>
      <c r="I35" s="72"/>
    </row>
    <row r="36" spans="1:9" ht="20">
      <c r="A36" s="40">
        <v>35</v>
      </c>
      <c r="B36" s="40"/>
      <c r="C36" s="2" t="s">
        <v>12</v>
      </c>
      <c r="D36" s="2" t="s">
        <v>71</v>
      </c>
      <c r="E36" s="41" t="s">
        <v>72</v>
      </c>
      <c r="F36" s="44" t="s">
        <v>171</v>
      </c>
      <c r="G36" s="44"/>
      <c r="H36" s="43">
        <v>235363</v>
      </c>
      <c r="I36" s="72"/>
    </row>
    <row r="37" spans="1:9" ht="20">
      <c r="A37" s="40">
        <v>36</v>
      </c>
      <c r="B37" s="40"/>
      <c r="C37" s="2" t="s">
        <v>12</v>
      </c>
      <c r="D37" s="2" t="s">
        <v>73</v>
      </c>
      <c r="E37" s="41" t="s">
        <v>74</v>
      </c>
      <c r="F37" s="44" t="s">
        <v>158</v>
      </c>
      <c r="G37" s="44"/>
      <c r="H37" s="43">
        <v>239977</v>
      </c>
      <c r="I37" s="72"/>
    </row>
    <row r="38" spans="1:9" ht="20">
      <c r="A38" s="40">
        <v>37</v>
      </c>
      <c r="B38" s="40"/>
      <c r="C38" s="2" t="s">
        <v>12</v>
      </c>
      <c r="D38" s="2" t="s">
        <v>75</v>
      </c>
      <c r="E38" s="41" t="s">
        <v>76</v>
      </c>
      <c r="F38" s="44" t="s">
        <v>156</v>
      </c>
      <c r="G38" s="44"/>
      <c r="H38" s="43">
        <v>236619</v>
      </c>
      <c r="I38" s="72"/>
    </row>
    <row r="39" spans="1:9" ht="20">
      <c r="A39" s="40">
        <v>38</v>
      </c>
      <c r="B39" s="40"/>
      <c r="C39" s="2" t="s">
        <v>7</v>
      </c>
      <c r="D39" s="2" t="s">
        <v>77</v>
      </c>
      <c r="E39" s="41" t="s">
        <v>38</v>
      </c>
      <c r="F39" s="44" t="s">
        <v>158</v>
      </c>
      <c r="G39" s="44"/>
      <c r="H39" s="43">
        <v>236264</v>
      </c>
      <c r="I39" s="72"/>
    </row>
    <row r="40" spans="1:9" ht="20">
      <c r="A40" s="40">
        <v>39</v>
      </c>
      <c r="B40" s="40"/>
      <c r="C40" s="2" t="s">
        <v>12</v>
      </c>
      <c r="D40" s="2" t="s">
        <v>78</v>
      </c>
      <c r="E40" s="41" t="s">
        <v>79</v>
      </c>
      <c r="F40" s="44" t="s">
        <v>156</v>
      </c>
      <c r="G40" s="44"/>
      <c r="H40" s="43">
        <v>239930</v>
      </c>
      <c r="I40" s="72"/>
    </row>
    <row r="41" spans="1:9" ht="20">
      <c r="A41" s="40">
        <v>40</v>
      </c>
      <c r="B41" s="40"/>
      <c r="C41" s="2" t="s">
        <v>12</v>
      </c>
      <c r="D41" s="2" t="s">
        <v>80</v>
      </c>
      <c r="E41" s="41" t="s">
        <v>81</v>
      </c>
      <c r="F41" s="44" t="s">
        <v>172</v>
      </c>
      <c r="G41" s="44"/>
      <c r="H41" s="43">
        <v>243045</v>
      </c>
      <c r="I41" s="72"/>
    </row>
    <row r="42" spans="1:9" ht="20">
      <c r="A42" s="40">
        <v>41</v>
      </c>
      <c r="B42" s="40"/>
      <c r="C42" s="2" t="s">
        <v>12</v>
      </c>
      <c r="D42" s="2" t="s">
        <v>82</v>
      </c>
      <c r="E42" s="41" t="s">
        <v>83</v>
      </c>
      <c r="F42" s="44" t="s">
        <v>156</v>
      </c>
      <c r="G42" s="44"/>
      <c r="H42" s="43">
        <v>240455</v>
      </c>
      <c r="I42" s="72"/>
    </row>
    <row r="43" spans="1:9" ht="20">
      <c r="A43" s="40">
        <v>42</v>
      </c>
      <c r="B43" s="40"/>
      <c r="C43" s="2" t="s">
        <v>12</v>
      </c>
      <c r="D43" s="2" t="s">
        <v>84</v>
      </c>
      <c r="E43" s="41" t="s">
        <v>44</v>
      </c>
      <c r="F43" s="44" t="s">
        <v>173</v>
      </c>
      <c r="G43" s="44"/>
      <c r="H43" s="43">
        <v>241927</v>
      </c>
      <c r="I43" s="72"/>
    </row>
    <row r="44" spans="1:9" ht="20">
      <c r="A44" s="40">
        <v>43</v>
      </c>
      <c r="B44" s="40"/>
      <c r="C44" s="2" t="s">
        <v>12</v>
      </c>
      <c r="D44" s="2" t="s">
        <v>13</v>
      </c>
      <c r="E44" s="41" t="s">
        <v>26</v>
      </c>
      <c r="F44" s="44" t="s">
        <v>158</v>
      </c>
      <c r="G44" s="44"/>
      <c r="H44" s="43">
        <v>243257</v>
      </c>
      <c r="I44" s="72"/>
    </row>
    <row r="45" spans="1:9" ht="20">
      <c r="A45" s="40">
        <v>44</v>
      </c>
      <c r="B45" s="40"/>
      <c r="C45" s="2" t="s">
        <v>4</v>
      </c>
      <c r="D45" s="2" t="s">
        <v>85</v>
      </c>
      <c r="E45" s="41" t="s">
        <v>30</v>
      </c>
      <c r="F45" s="44" t="s">
        <v>174</v>
      </c>
      <c r="G45" s="44"/>
      <c r="H45" s="43">
        <v>237079</v>
      </c>
      <c r="I45" s="72"/>
    </row>
    <row r="46" spans="1:9" ht="20">
      <c r="A46" s="40">
        <v>45</v>
      </c>
      <c r="B46" s="40"/>
      <c r="C46" s="2" t="s">
        <v>7</v>
      </c>
      <c r="D46" s="2" t="s">
        <v>86</v>
      </c>
      <c r="E46" s="41" t="s">
        <v>32</v>
      </c>
      <c r="F46" s="44" t="s">
        <v>158</v>
      </c>
      <c r="G46" s="44"/>
      <c r="H46" s="43">
        <v>237962</v>
      </c>
      <c r="I46" s="72"/>
    </row>
    <row r="47" spans="1:9" ht="20">
      <c r="A47" s="40">
        <v>46</v>
      </c>
      <c r="B47" s="40"/>
      <c r="C47" s="2" t="s">
        <v>4</v>
      </c>
      <c r="D47" s="2" t="s">
        <v>87</v>
      </c>
      <c r="E47" s="41" t="s">
        <v>38</v>
      </c>
      <c r="F47" s="44" t="s">
        <v>158</v>
      </c>
      <c r="G47" s="44"/>
      <c r="H47" s="43">
        <v>240141</v>
      </c>
      <c r="I47" s="72"/>
    </row>
    <row r="48" spans="1:9" ht="20">
      <c r="A48" s="40">
        <v>47</v>
      </c>
      <c r="B48" s="40"/>
      <c r="C48" s="2" t="s">
        <v>4</v>
      </c>
      <c r="D48" s="2" t="s">
        <v>88</v>
      </c>
      <c r="E48" s="41" t="s">
        <v>30</v>
      </c>
      <c r="F48" s="44" t="s">
        <v>158</v>
      </c>
      <c r="G48" s="44"/>
      <c r="H48" s="43">
        <v>237531</v>
      </c>
      <c r="I48" s="72"/>
    </row>
    <row r="49" spans="1:9" ht="20">
      <c r="A49" s="40">
        <v>48</v>
      </c>
      <c r="B49" s="40"/>
      <c r="C49" s="2" t="s">
        <v>4</v>
      </c>
      <c r="D49" s="2" t="s">
        <v>89</v>
      </c>
      <c r="E49" s="41" t="s">
        <v>90</v>
      </c>
      <c r="F49" s="44" t="s">
        <v>158</v>
      </c>
      <c r="G49" s="44"/>
      <c r="H49" s="43">
        <v>238873</v>
      </c>
      <c r="I49" s="72"/>
    </row>
    <row r="50" spans="1:9" ht="20">
      <c r="A50" s="40">
        <v>49</v>
      </c>
      <c r="B50" s="40"/>
      <c r="C50" s="2" t="s">
        <v>7</v>
      </c>
      <c r="D50" s="2" t="s">
        <v>91</v>
      </c>
      <c r="E50" s="41" t="s">
        <v>92</v>
      </c>
      <c r="F50" s="44" t="s">
        <v>158</v>
      </c>
      <c r="G50" s="44"/>
      <c r="H50" s="43">
        <v>238392</v>
      </c>
      <c r="I50" s="72"/>
    </row>
    <row r="51" spans="1:9" ht="20">
      <c r="A51" s="40">
        <v>50</v>
      </c>
      <c r="B51" s="40"/>
      <c r="C51" s="2" t="s">
        <v>7</v>
      </c>
      <c r="D51" s="2" t="s">
        <v>93</v>
      </c>
      <c r="E51" s="41" t="s">
        <v>94</v>
      </c>
      <c r="F51" s="44" t="s">
        <v>158</v>
      </c>
      <c r="G51" s="44"/>
      <c r="H51" s="43">
        <v>243961</v>
      </c>
      <c r="I51" s="72"/>
    </row>
    <row r="52" spans="1:9" ht="20">
      <c r="A52" s="40">
        <v>51</v>
      </c>
      <c r="B52" s="40"/>
      <c r="C52" s="2" t="s">
        <v>4</v>
      </c>
      <c r="D52" s="2" t="s">
        <v>95</v>
      </c>
      <c r="E52" s="41" t="s">
        <v>96</v>
      </c>
      <c r="F52" s="44" t="s">
        <v>164</v>
      </c>
      <c r="G52" s="44"/>
      <c r="H52" s="43">
        <v>236264</v>
      </c>
      <c r="I52" s="72"/>
    </row>
    <row r="53" spans="1:9" ht="20">
      <c r="A53" s="40">
        <v>52</v>
      </c>
      <c r="B53" s="40"/>
      <c r="C53" s="2" t="s">
        <v>4</v>
      </c>
      <c r="D53" s="2" t="s">
        <v>97</v>
      </c>
      <c r="E53" s="41" t="s">
        <v>83</v>
      </c>
      <c r="F53" s="44" t="s">
        <v>158</v>
      </c>
      <c r="G53" s="44"/>
      <c r="H53" s="43">
        <v>237179</v>
      </c>
      <c r="I53" s="72"/>
    </row>
    <row r="54" spans="1:9" ht="20">
      <c r="A54" s="40">
        <v>53</v>
      </c>
      <c r="B54" s="40"/>
      <c r="C54" s="2" t="s">
        <v>12</v>
      </c>
      <c r="D54" s="2" t="s">
        <v>98</v>
      </c>
      <c r="E54" s="41" t="s">
        <v>99</v>
      </c>
      <c r="F54" s="44" t="s">
        <v>175</v>
      </c>
      <c r="G54" s="44"/>
      <c r="H54" s="43">
        <v>239357</v>
      </c>
      <c r="I54" s="72"/>
    </row>
    <row r="55" spans="1:9" ht="20">
      <c r="A55" s="40">
        <v>54</v>
      </c>
      <c r="B55" s="40"/>
      <c r="C55" s="2" t="s">
        <v>7</v>
      </c>
      <c r="D55" s="2" t="s">
        <v>100</v>
      </c>
      <c r="E55" s="41" t="s">
        <v>101</v>
      </c>
      <c r="F55" s="44" t="s">
        <v>158</v>
      </c>
      <c r="G55" s="44"/>
      <c r="H55" s="43">
        <v>243961</v>
      </c>
      <c r="I55" s="72"/>
    </row>
    <row r="56" spans="1:9" ht="20">
      <c r="A56" s="40">
        <v>55</v>
      </c>
      <c r="B56" s="40"/>
      <c r="C56" s="2" t="s">
        <v>4</v>
      </c>
      <c r="D56" s="2" t="s">
        <v>102</v>
      </c>
      <c r="E56" s="46" t="s">
        <v>103</v>
      </c>
      <c r="F56" s="44" t="s">
        <v>158</v>
      </c>
      <c r="G56" s="44"/>
      <c r="H56" s="47">
        <v>241481</v>
      </c>
      <c r="I56" s="72"/>
    </row>
    <row r="57" spans="1:9" ht="20">
      <c r="A57" s="40">
        <v>56</v>
      </c>
      <c r="B57" s="40"/>
      <c r="C57" s="2" t="s">
        <v>7</v>
      </c>
      <c r="D57" s="2" t="s">
        <v>104</v>
      </c>
      <c r="E57" s="46" t="s">
        <v>105</v>
      </c>
      <c r="F57" s="40">
        <v>348</v>
      </c>
      <c r="G57" s="40"/>
      <c r="H57" s="47">
        <v>241488</v>
      </c>
      <c r="I57" s="72"/>
    </row>
    <row r="58" spans="1:9" ht="20">
      <c r="A58" s="40">
        <v>57</v>
      </c>
      <c r="B58" s="40"/>
      <c r="C58" s="2" t="s">
        <v>12</v>
      </c>
      <c r="D58" s="2" t="s">
        <v>106</v>
      </c>
      <c r="E58" s="41" t="s">
        <v>107</v>
      </c>
      <c r="F58" s="44" t="s">
        <v>158</v>
      </c>
      <c r="G58" s="44"/>
      <c r="H58" s="43">
        <v>240917</v>
      </c>
      <c r="I58" s="72"/>
    </row>
    <row r="59" spans="1:9" ht="20">
      <c r="A59" s="40">
        <v>58</v>
      </c>
      <c r="B59" s="40"/>
      <c r="C59" s="2" t="s">
        <v>4</v>
      </c>
      <c r="D59" s="2" t="s">
        <v>108</v>
      </c>
      <c r="E59" s="41" t="s">
        <v>72</v>
      </c>
      <c r="F59" s="45">
        <v>353</v>
      </c>
      <c r="G59" s="45"/>
      <c r="H59" s="43">
        <v>235705</v>
      </c>
      <c r="I59" s="72"/>
    </row>
    <row r="60" spans="1:9" ht="20">
      <c r="A60" s="40">
        <v>59</v>
      </c>
      <c r="B60" s="40"/>
      <c r="C60" s="2" t="s">
        <v>7</v>
      </c>
      <c r="D60" s="2" t="s">
        <v>109</v>
      </c>
      <c r="E60" s="41" t="s">
        <v>58</v>
      </c>
      <c r="F60" s="45">
        <v>348</v>
      </c>
      <c r="G60" s="45"/>
      <c r="H60" s="43">
        <v>242303</v>
      </c>
      <c r="I60" s="72"/>
    </row>
    <row r="61" spans="1:9" ht="20">
      <c r="A61" s="40">
        <v>60</v>
      </c>
      <c r="B61" s="40"/>
      <c r="C61" s="2" t="s">
        <v>7</v>
      </c>
      <c r="D61" s="2" t="s">
        <v>110</v>
      </c>
      <c r="E61" s="41" t="s">
        <v>38</v>
      </c>
      <c r="F61" s="45">
        <v>348</v>
      </c>
      <c r="G61" s="45"/>
      <c r="H61" s="43">
        <v>240917</v>
      </c>
      <c r="I61" s="72"/>
    </row>
    <row r="62" spans="1:9" ht="20">
      <c r="A62" s="40">
        <v>61</v>
      </c>
      <c r="B62" s="40"/>
      <c r="C62" s="2" t="s">
        <v>7</v>
      </c>
      <c r="D62" s="2" t="s">
        <v>111</v>
      </c>
      <c r="E62" s="41" t="s">
        <v>103</v>
      </c>
      <c r="F62" s="45">
        <v>582</v>
      </c>
      <c r="G62" s="45"/>
      <c r="H62" s="43">
        <v>236130</v>
      </c>
      <c r="I62" s="72"/>
    </row>
    <row r="63" spans="1:9" ht="20">
      <c r="A63" s="40">
        <v>62</v>
      </c>
      <c r="B63" s="40"/>
      <c r="C63" s="2" t="s">
        <v>12</v>
      </c>
      <c r="D63" s="2" t="s">
        <v>112</v>
      </c>
      <c r="E63" s="41" t="s">
        <v>103</v>
      </c>
      <c r="F63" s="45">
        <v>582</v>
      </c>
      <c r="G63" s="45"/>
      <c r="H63" s="43">
        <v>236130</v>
      </c>
      <c r="I63" s="72"/>
    </row>
    <row r="64" spans="1:9" ht="20">
      <c r="A64" s="40">
        <v>63</v>
      </c>
      <c r="B64" s="40"/>
      <c r="C64" s="2" t="s">
        <v>7</v>
      </c>
      <c r="D64" s="2" t="s">
        <v>113</v>
      </c>
      <c r="E64" s="41" t="s">
        <v>114</v>
      </c>
      <c r="F64" s="45">
        <v>348</v>
      </c>
      <c r="G64" s="45"/>
      <c r="H64" s="43">
        <v>240344</v>
      </c>
      <c r="I64" s="72"/>
    </row>
    <row r="65" spans="1:9" ht="20">
      <c r="A65" s="40">
        <v>64</v>
      </c>
      <c r="B65" s="40"/>
      <c r="C65" s="2" t="s">
        <v>12</v>
      </c>
      <c r="D65" s="2" t="s">
        <v>115</v>
      </c>
      <c r="E65" s="41" t="s">
        <v>38</v>
      </c>
      <c r="F65" s="45">
        <v>367</v>
      </c>
      <c r="G65" s="45"/>
      <c r="H65" s="43">
        <v>238019</v>
      </c>
      <c r="I65" s="72"/>
    </row>
    <row r="66" spans="1:9" ht="20">
      <c r="A66" s="40">
        <v>65</v>
      </c>
      <c r="B66" s="40"/>
      <c r="C66" s="2" t="s">
        <v>7</v>
      </c>
      <c r="D66" s="2" t="s">
        <v>116</v>
      </c>
      <c r="E66" s="41" t="s">
        <v>117</v>
      </c>
      <c r="F66" s="45">
        <v>348</v>
      </c>
      <c r="G66" s="45"/>
      <c r="H66" s="43">
        <v>236264</v>
      </c>
      <c r="I66" s="72"/>
    </row>
    <row r="67" spans="1:9" ht="20">
      <c r="A67" s="40">
        <v>66</v>
      </c>
      <c r="B67" s="40"/>
      <c r="C67" s="2" t="s">
        <v>7</v>
      </c>
      <c r="D67" s="2" t="s">
        <v>118</v>
      </c>
      <c r="E67" s="41" t="s">
        <v>119</v>
      </c>
      <c r="F67" s="45">
        <v>348</v>
      </c>
      <c r="G67" s="45"/>
      <c r="H67" s="43">
        <v>237941</v>
      </c>
      <c r="I67" s="72"/>
    </row>
    <row r="68" spans="1:9" ht="20">
      <c r="A68" s="40">
        <v>67</v>
      </c>
      <c r="B68" s="40"/>
      <c r="C68" s="2" t="s">
        <v>7</v>
      </c>
      <c r="D68" s="2" t="s">
        <v>118</v>
      </c>
      <c r="E68" s="41" t="s">
        <v>36</v>
      </c>
      <c r="F68" s="45">
        <v>356</v>
      </c>
      <c r="G68" s="45"/>
      <c r="H68" s="43">
        <v>240416</v>
      </c>
      <c r="I68" s="72"/>
    </row>
    <row r="69" spans="1:9" ht="20">
      <c r="A69" s="40">
        <v>68</v>
      </c>
      <c r="B69" s="40"/>
      <c r="C69" s="2" t="s">
        <v>7</v>
      </c>
      <c r="D69" s="2" t="s">
        <v>118</v>
      </c>
      <c r="E69" s="41" t="s">
        <v>120</v>
      </c>
      <c r="F69" s="48">
        <v>348</v>
      </c>
      <c r="G69" s="48"/>
      <c r="H69" s="43">
        <v>243961</v>
      </c>
      <c r="I69" s="72"/>
    </row>
    <row r="70" spans="1:9" ht="20">
      <c r="A70" s="40">
        <v>69</v>
      </c>
      <c r="B70" s="40"/>
      <c r="C70" s="2" t="s">
        <v>7</v>
      </c>
      <c r="D70" s="2" t="s">
        <v>121</v>
      </c>
      <c r="E70" s="41" t="s">
        <v>68</v>
      </c>
      <c r="F70" s="45">
        <v>352</v>
      </c>
      <c r="G70" s="45"/>
      <c r="H70" s="43">
        <v>237412</v>
      </c>
      <c r="I70" s="72"/>
    </row>
    <row r="71" spans="1:9" ht="20">
      <c r="A71" s="40">
        <v>70</v>
      </c>
      <c r="B71" s="40"/>
      <c r="C71" s="2" t="s">
        <v>4</v>
      </c>
      <c r="D71" s="2" t="s">
        <v>122</v>
      </c>
      <c r="E71" s="41" t="s">
        <v>123</v>
      </c>
      <c r="F71" s="45">
        <v>348</v>
      </c>
      <c r="G71" s="45"/>
      <c r="H71" s="43">
        <v>238512</v>
      </c>
      <c r="I71" s="72"/>
    </row>
    <row r="72" spans="1:9" ht="20">
      <c r="A72" s="40">
        <v>71</v>
      </c>
      <c r="B72" s="40"/>
      <c r="C72" s="2" t="s">
        <v>7</v>
      </c>
      <c r="D72" s="2" t="s">
        <v>124</v>
      </c>
      <c r="E72" s="41" t="s">
        <v>125</v>
      </c>
      <c r="F72" s="45">
        <v>348</v>
      </c>
      <c r="G72" s="45"/>
      <c r="H72" s="43">
        <v>237351</v>
      </c>
      <c r="I72" s="72"/>
    </row>
    <row r="73" spans="1:9" ht="20">
      <c r="A73" s="40">
        <v>72</v>
      </c>
      <c r="B73" s="40"/>
      <c r="C73" s="2" t="s">
        <v>12</v>
      </c>
      <c r="D73" s="2" t="s">
        <v>126</v>
      </c>
      <c r="E73" s="41" t="s">
        <v>123</v>
      </c>
      <c r="F73" s="45">
        <v>359</v>
      </c>
      <c r="G73" s="45"/>
      <c r="H73" s="43">
        <v>240026</v>
      </c>
      <c r="I73" s="72"/>
    </row>
    <row r="74" spans="1:9" ht="20">
      <c r="A74" s="40">
        <v>73</v>
      </c>
      <c r="B74" s="40"/>
      <c r="C74" s="2" t="s">
        <v>7</v>
      </c>
      <c r="D74" s="2" t="s">
        <v>127</v>
      </c>
      <c r="E74" s="41" t="s">
        <v>128</v>
      </c>
      <c r="F74" s="45">
        <v>348</v>
      </c>
      <c r="G74" s="45"/>
      <c r="H74" s="43">
        <v>237127</v>
      </c>
      <c r="I74" s="72"/>
    </row>
    <row r="75" spans="1:9" ht="20">
      <c r="A75" s="40">
        <v>74</v>
      </c>
      <c r="B75" s="40"/>
      <c r="C75" s="2" t="s">
        <v>12</v>
      </c>
      <c r="D75" s="2" t="s">
        <v>129</v>
      </c>
      <c r="E75" s="41" t="s">
        <v>130</v>
      </c>
      <c r="F75" s="45">
        <v>359</v>
      </c>
      <c r="G75" s="45"/>
      <c r="H75" s="43">
        <v>240235</v>
      </c>
      <c r="I75" s="72"/>
    </row>
    <row r="76" spans="1:9" ht="20">
      <c r="A76" s="40">
        <v>75</v>
      </c>
      <c r="B76" s="40"/>
      <c r="C76" s="2" t="s">
        <v>4</v>
      </c>
      <c r="D76" s="2" t="s">
        <v>131</v>
      </c>
      <c r="E76" s="41" t="s">
        <v>44</v>
      </c>
      <c r="F76" s="44" t="s">
        <v>158</v>
      </c>
      <c r="G76" s="44"/>
      <c r="H76" s="43">
        <v>243957</v>
      </c>
      <c r="I76" s="72"/>
    </row>
    <row r="77" spans="1:9" ht="20">
      <c r="A77" s="40">
        <v>76</v>
      </c>
      <c r="B77" s="40"/>
      <c r="C77" s="2" t="s">
        <v>4</v>
      </c>
      <c r="D77" s="2" t="s">
        <v>132</v>
      </c>
      <c r="E77" s="41" t="s">
        <v>133</v>
      </c>
      <c r="F77" s="45">
        <v>348</v>
      </c>
      <c r="G77" s="45"/>
      <c r="H77" s="43">
        <v>243257</v>
      </c>
      <c r="I77" s="72"/>
    </row>
    <row r="78" spans="1:9" ht="20">
      <c r="A78" s="40">
        <v>77</v>
      </c>
      <c r="B78" s="40"/>
      <c r="C78" s="2" t="s">
        <v>4</v>
      </c>
      <c r="D78" s="2" t="s">
        <v>134</v>
      </c>
      <c r="E78" s="41" t="s">
        <v>135</v>
      </c>
      <c r="F78" s="45">
        <v>348</v>
      </c>
      <c r="G78" s="45"/>
      <c r="H78" s="43">
        <v>241848</v>
      </c>
      <c r="I78" s="72"/>
    </row>
    <row r="79" spans="1:9" ht="20">
      <c r="A79" s="40">
        <v>78</v>
      </c>
      <c r="B79" s="40"/>
      <c r="C79" s="2" t="s">
        <v>7</v>
      </c>
      <c r="D79" s="2" t="s">
        <v>136</v>
      </c>
      <c r="E79" s="41" t="s">
        <v>83</v>
      </c>
      <c r="F79" s="45">
        <v>357</v>
      </c>
      <c r="G79" s="45"/>
      <c r="H79" s="43">
        <v>243822</v>
      </c>
      <c r="I79" s="72"/>
    </row>
    <row r="80" spans="1:9" ht="20">
      <c r="A80" s="40">
        <v>79</v>
      </c>
      <c r="B80" s="40"/>
      <c r="C80" s="2" t="s">
        <v>12</v>
      </c>
      <c r="D80" s="2" t="s">
        <v>137</v>
      </c>
      <c r="E80" s="41" t="s">
        <v>138</v>
      </c>
      <c r="F80" s="45">
        <v>358</v>
      </c>
      <c r="G80" s="45"/>
      <c r="H80" s="43">
        <v>238004</v>
      </c>
      <c r="I80" s="72"/>
    </row>
    <row r="81" spans="1:9" ht="20">
      <c r="A81" s="40">
        <v>80</v>
      </c>
      <c r="B81" s="40"/>
      <c r="C81" s="2" t="s">
        <v>12</v>
      </c>
      <c r="D81" s="2" t="s">
        <v>139</v>
      </c>
      <c r="E81" s="41" t="s">
        <v>72</v>
      </c>
      <c r="F81" s="45">
        <v>358</v>
      </c>
      <c r="G81" s="45"/>
      <c r="H81" s="43">
        <v>235377</v>
      </c>
      <c r="I81" s="72"/>
    </row>
    <row r="82" spans="1:9" ht="20">
      <c r="A82" s="40">
        <v>81</v>
      </c>
      <c r="B82" s="40"/>
      <c r="C82" s="2" t="s">
        <v>4</v>
      </c>
      <c r="D82" s="2" t="s">
        <v>140</v>
      </c>
      <c r="E82" s="41" t="s">
        <v>96</v>
      </c>
      <c r="F82" s="45">
        <v>348</v>
      </c>
      <c r="G82" s="45"/>
      <c r="H82" s="43">
        <v>239933</v>
      </c>
      <c r="I82" s="72"/>
    </row>
    <row r="83" spans="1:9" ht="20">
      <c r="A83" s="40">
        <v>82</v>
      </c>
      <c r="B83" s="40"/>
      <c r="C83" s="2" t="s">
        <v>4</v>
      </c>
      <c r="D83" s="2" t="s">
        <v>141</v>
      </c>
      <c r="E83" s="41" t="s">
        <v>83</v>
      </c>
      <c r="F83" s="45">
        <v>352</v>
      </c>
      <c r="G83" s="45"/>
      <c r="H83" s="43">
        <v>239357</v>
      </c>
      <c r="I83" s="72"/>
    </row>
    <row r="84" spans="1:9" ht="20">
      <c r="A84" s="40">
        <v>83</v>
      </c>
      <c r="B84" s="40"/>
      <c r="C84" s="2" t="s">
        <v>4</v>
      </c>
      <c r="D84" s="2" t="s">
        <v>142</v>
      </c>
      <c r="E84" s="41" t="s">
        <v>143</v>
      </c>
      <c r="F84" s="45">
        <v>348</v>
      </c>
      <c r="G84" s="45"/>
      <c r="H84" s="43">
        <v>244159</v>
      </c>
      <c r="I84" s="72"/>
    </row>
    <row r="85" spans="1:9" ht="20">
      <c r="A85" s="40">
        <v>84</v>
      </c>
      <c r="B85" s="40"/>
      <c r="C85" s="2" t="s">
        <v>4</v>
      </c>
      <c r="D85" s="2" t="s">
        <v>144</v>
      </c>
      <c r="E85" s="41" t="s">
        <v>145</v>
      </c>
      <c r="F85" s="44" t="s">
        <v>158</v>
      </c>
      <c r="G85" s="44"/>
      <c r="H85" s="43">
        <v>244194</v>
      </c>
      <c r="I85" s="72"/>
    </row>
    <row r="86" spans="1:9" ht="20">
      <c r="A86" s="40">
        <v>85</v>
      </c>
      <c r="B86" s="40"/>
      <c r="C86" s="2" t="s">
        <v>7</v>
      </c>
      <c r="D86" s="2" t="s">
        <v>146</v>
      </c>
      <c r="E86" s="41" t="s">
        <v>147</v>
      </c>
      <c r="F86" s="44" t="s">
        <v>158</v>
      </c>
      <c r="G86" s="44"/>
      <c r="H86" s="43">
        <v>244194</v>
      </c>
      <c r="I86" s="72"/>
    </row>
    <row r="87" spans="1:9" ht="20">
      <c r="A87" s="40">
        <v>86</v>
      </c>
      <c r="B87" s="40"/>
      <c r="C87" s="2" t="s">
        <v>4</v>
      </c>
      <c r="D87" s="2" t="s">
        <v>148</v>
      </c>
      <c r="E87" s="41" t="s">
        <v>149</v>
      </c>
      <c r="F87" s="44" t="s">
        <v>158</v>
      </c>
      <c r="G87" s="44"/>
      <c r="H87" s="43">
        <v>244197</v>
      </c>
      <c r="I87" s="72"/>
    </row>
    <row r="88" spans="1:9" ht="20">
      <c r="A88" s="40">
        <v>87</v>
      </c>
      <c r="B88" s="40"/>
      <c r="C88" s="2" t="s">
        <v>4</v>
      </c>
      <c r="D88" s="2" t="s">
        <v>150</v>
      </c>
      <c r="E88" s="41" t="s">
        <v>76</v>
      </c>
      <c r="F88" s="44" t="s">
        <v>158</v>
      </c>
      <c r="G88" s="44"/>
      <c r="H88" s="43">
        <v>244197</v>
      </c>
      <c r="I88" s="72"/>
    </row>
    <row r="89" spans="1:9" ht="20">
      <c r="A89" s="40">
        <v>88</v>
      </c>
      <c r="B89" s="40"/>
      <c r="C89" s="2" t="s">
        <v>4</v>
      </c>
      <c r="D89" s="2" t="s">
        <v>151</v>
      </c>
      <c r="E89" s="41" t="s">
        <v>152</v>
      </c>
      <c r="F89" s="44" t="s">
        <v>158</v>
      </c>
      <c r="G89" s="44"/>
      <c r="H89" s="43">
        <v>244201</v>
      </c>
      <c r="I89" s="72"/>
    </row>
    <row r="90" spans="1:9" ht="20">
      <c r="A90" s="40">
        <v>89</v>
      </c>
      <c r="B90" s="40"/>
      <c r="C90" s="2" t="s">
        <v>4</v>
      </c>
      <c r="D90" s="2" t="s">
        <v>153</v>
      </c>
      <c r="E90" s="41" t="s">
        <v>138</v>
      </c>
      <c r="F90" s="48">
        <v>348</v>
      </c>
      <c r="G90" s="48"/>
      <c r="H90" s="43">
        <v>244235</v>
      </c>
      <c r="I90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D900-7F8B-4D90-9FA5-D49F30819027}">
  <dimension ref="A1:Y128"/>
  <sheetViews>
    <sheetView zoomScale="71" zoomScaleNormal="100" workbookViewId="0">
      <pane ySplit="2" topLeftCell="A3" activePane="bottomLeft" state="frozen"/>
      <selection pane="bottomLeft" activeCell="B5" sqref="B5"/>
    </sheetView>
  </sheetViews>
  <sheetFormatPr defaultRowHeight="14.5"/>
  <cols>
    <col min="1" max="2" width="8.7265625" style="8" customWidth="1"/>
    <col min="3" max="3" width="8.90625" style="8" bestFit="1" customWidth="1"/>
    <col min="4" max="4" width="8.7265625" style="8"/>
    <col min="5" max="5" width="14.81640625" style="8" bestFit="1" customWidth="1"/>
    <col min="6" max="6" width="11.90625" style="8" bestFit="1" customWidth="1"/>
    <col min="7" max="7" width="12.453125" style="8" bestFit="1" customWidth="1"/>
    <col min="8" max="8" width="11.1796875" style="8" bestFit="1" customWidth="1"/>
    <col min="9" max="9" width="9.90625" style="8" bestFit="1" customWidth="1"/>
    <col min="10" max="10" width="12.453125" style="8" bestFit="1" customWidth="1"/>
    <col min="11" max="11" width="7.453125" style="8" bestFit="1" customWidth="1"/>
    <col min="12" max="12" width="8.81640625" style="8" bestFit="1" customWidth="1"/>
    <col min="13" max="13" width="10.453125" style="8" bestFit="1" customWidth="1"/>
    <col min="14" max="14" width="10.90625" style="8" bestFit="1" customWidth="1"/>
    <col min="15" max="15" width="11.7265625" style="8" bestFit="1" customWidth="1"/>
    <col min="16" max="16" width="7.7265625" style="8" bestFit="1" customWidth="1"/>
    <col min="17" max="18" width="10.81640625" style="8" bestFit="1" customWidth="1"/>
    <col min="19" max="19" width="13.1796875" style="8" customWidth="1"/>
    <col min="20" max="20" width="8.7265625" style="8"/>
    <col min="21" max="21" width="10.54296875" style="8" customWidth="1"/>
    <col min="22" max="16384" width="8.7265625" style="8"/>
  </cols>
  <sheetData>
    <row r="1" spans="1:25" ht="20">
      <c r="A1" s="3" t="s">
        <v>177</v>
      </c>
      <c r="B1" s="3"/>
      <c r="C1" s="4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5"/>
      <c r="S1" s="7"/>
      <c r="T1" s="5"/>
      <c r="U1" s="5"/>
      <c r="V1" s="5"/>
      <c r="W1" s="5"/>
      <c r="X1" s="5"/>
      <c r="Y1" s="5"/>
    </row>
    <row r="2" spans="1:25" ht="20">
      <c r="A2" s="3" t="s">
        <v>178</v>
      </c>
      <c r="B2" s="3"/>
      <c r="C2" s="4"/>
      <c r="D2" s="5"/>
      <c r="E2" s="5"/>
      <c r="G2" s="9" t="s">
        <v>179</v>
      </c>
      <c r="H2" s="10">
        <v>243983</v>
      </c>
      <c r="I2" s="7"/>
      <c r="J2" s="9" t="s">
        <v>180</v>
      </c>
      <c r="K2" s="11">
        <v>0.03</v>
      </c>
      <c r="L2" s="6"/>
      <c r="M2" s="12" t="s">
        <v>181</v>
      </c>
      <c r="N2" s="13">
        <v>60</v>
      </c>
      <c r="O2" s="6"/>
      <c r="P2" s="6"/>
      <c r="Q2" s="6"/>
      <c r="R2" s="5"/>
      <c r="S2" s="7"/>
      <c r="T2" s="5"/>
      <c r="U2" s="5"/>
      <c r="V2" s="5"/>
      <c r="W2" s="5"/>
      <c r="X2" s="5"/>
      <c r="Y2" s="5"/>
    </row>
    <row r="3" spans="1:25" ht="24.5" customHeight="1">
      <c r="A3" s="73" t="s">
        <v>182</v>
      </c>
      <c r="B3" s="73"/>
      <c r="C3" s="73"/>
      <c r="D3" s="73"/>
      <c r="E3" s="73"/>
      <c r="F3" s="73"/>
      <c r="G3" s="73"/>
      <c r="H3" s="73"/>
      <c r="I3" s="74" t="s">
        <v>183</v>
      </c>
      <c r="J3" s="74"/>
      <c r="K3" s="74"/>
      <c r="L3" s="74"/>
      <c r="M3" s="74"/>
      <c r="N3" s="74"/>
      <c r="O3" s="74"/>
      <c r="P3" s="74"/>
      <c r="Q3" s="74"/>
      <c r="R3" s="74"/>
      <c r="S3" s="7"/>
      <c r="T3" s="5"/>
      <c r="U3" s="5"/>
      <c r="V3" s="5"/>
      <c r="W3" s="5"/>
      <c r="X3" s="5"/>
      <c r="Y3" s="5"/>
    </row>
    <row r="4" spans="1:25" ht="104">
      <c r="A4" s="14" t="s">
        <v>0</v>
      </c>
      <c r="B4" s="14" t="s">
        <v>436</v>
      </c>
      <c r="C4" s="14" t="s">
        <v>1</v>
      </c>
      <c r="D4" s="14" t="s">
        <v>2</v>
      </c>
      <c r="E4" s="14" t="s">
        <v>184</v>
      </c>
      <c r="F4" s="14" t="s">
        <v>176</v>
      </c>
      <c r="G4" s="14" t="s">
        <v>185</v>
      </c>
      <c r="H4" s="14" t="s">
        <v>186</v>
      </c>
      <c r="I4" s="14" t="s">
        <v>187</v>
      </c>
      <c r="J4" s="14" t="s">
        <v>188</v>
      </c>
      <c r="K4" s="14" t="s">
        <v>189</v>
      </c>
      <c r="L4" s="14" t="s">
        <v>190</v>
      </c>
      <c r="M4" s="14" t="s">
        <v>191</v>
      </c>
      <c r="N4" s="14" t="s">
        <v>192</v>
      </c>
      <c r="O4" s="14" t="s">
        <v>193</v>
      </c>
      <c r="P4" s="14" t="s">
        <v>194</v>
      </c>
      <c r="Q4" s="14" t="s">
        <v>195</v>
      </c>
      <c r="R4" s="14" t="s">
        <v>196</v>
      </c>
      <c r="S4" s="14" t="s">
        <v>197</v>
      </c>
      <c r="T4" s="14" t="s">
        <v>198</v>
      </c>
      <c r="U4" s="14" t="s">
        <v>199</v>
      </c>
      <c r="V4" s="14" t="s">
        <v>200</v>
      </c>
      <c r="W4" s="14" t="s">
        <v>201</v>
      </c>
      <c r="X4" s="14" t="s">
        <v>202</v>
      </c>
      <c r="Y4" s="14" t="s">
        <v>203</v>
      </c>
    </row>
    <row r="5" spans="1:25">
      <c r="A5" s="15">
        <v>1</v>
      </c>
      <c r="B5" s="15"/>
      <c r="C5" s="15" t="s">
        <v>7</v>
      </c>
      <c r="D5" s="15" t="s">
        <v>204</v>
      </c>
      <c r="E5" s="16" t="s">
        <v>205</v>
      </c>
      <c r="F5" s="17">
        <v>213094</v>
      </c>
      <c r="G5" s="18">
        <v>231778</v>
      </c>
      <c r="H5" s="19">
        <v>11070</v>
      </c>
      <c r="I5" s="20">
        <f>DATE(YEAR(F5)+$N$2,MONTH(F5),DAY(F5))</f>
        <v>235008</v>
      </c>
      <c r="J5" s="15">
        <f>DATEDIF(F5,$H$2,"Y")</f>
        <v>84</v>
      </c>
      <c r="K5" s="15">
        <f t="shared" ref="K5:K68" si="0">DATEDIF(G5,I5,"Y")</f>
        <v>8</v>
      </c>
      <c r="L5" s="15">
        <f>DATEDIF(G5,$H$2,"Y")</f>
        <v>33</v>
      </c>
      <c r="M5" s="15">
        <f>IF($N$2-J5&lt;=0,0,($N$2-J5))</f>
        <v>0</v>
      </c>
      <c r="N5" s="21">
        <f>ROUND(H5*(1+$K$2)^(M5),0)</f>
        <v>11070</v>
      </c>
      <c r="O5" s="22">
        <f>N5*VLOOKUP($K5,[1]สูตร!$A$5:$D$10,4)</f>
        <v>88560</v>
      </c>
      <c r="P5" s="23">
        <f>VLOOKUP(J5,[1]สูตร!$A$14:$D$19,4)</f>
        <v>1</v>
      </c>
      <c r="Q5" s="22">
        <f t="shared" ref="Q5:Q68" si="1">+O5*P5</f>
        <v>88560</v>
      </c>
      <c r="R5" s="22">
        <f t="shared" ref="R5:R68" si="2">IF(J5&gt;=$F$3,Q5,ROUND(Q5*L5/K5,2))</f>
        <v>88560</v>
      </c>
      <c r="S5" s="22"/>
      <c r="T5" s="7"/>
      <c r="U5" s="7"/>
      <c r="V5" s="7"/>
      <c r="W5" s="7"/>
      <c r="X5" s="7"/>
      <c r="Y5" s="7"/>
    </row>
    <row r="6" spans="1:25">
      <c r="A6" s="24">
        <v>2</v>
      </c>
      <c r="B6" s="24"/>
      <c r="C6" s="25" t="s">
        <v>206</v>
      </c>
      <c r="D6" s="26" t="s">
        <v>207</v>
      </c>
      <c r="E6" s="26" t="s">
        <v>208</v>
      </c>
      <c r="F6" s="27">
        <v>215265</v>
      </c>
      <c r="G6" s="28">
        <v>232510</v>
      </c>
      <c r="H6" s="29">
        <v>0</v>
      </c>
      <c r="I6" s="30">
        <f t="shared" ref="I6:I69" si="3">DATE(YEAR(F6)+$N$2,MONTH(F6),DAY(F6))</f>
        <v>237179</v>
      </c>
      <c r="J6" s="31">
        <f t="shared" ref="J6:J69" si="4">DATEDIF(F6,$H$2,"Y")</f>
        <v>78</v>
      </c>
      <c r="K6" s="31">
        <f t="shared" si="0"/>
        <v>12</v>
      </c>
      <c r="L6" s="31">
        <f t="shared" ref="L6:L69" si="5">DATEDIF(G6,$H$2,"Y")</f>
        <v>31</v>
      </c>
      <c r="M6" s="15">
        <f t="shared" ref="M6:M69" si="6">IF($N$2-J6&lt;=0,0,($N$2-J6))</f>
        <v>0</v>
      </c>
      <c r="N6" s="21">
        <f t="shared" ref="N6:N69" si="7">ROUND(H6*(1+$K$2)^(M6),0)</f>
        <v>0</v>
      </c>
      <c r="O6" s="32">
        <f>N6*VLOOKUP($K6,[1]สูตร!$A$5:$D$10,4)</f>
        <v>0</v>
      </c>
      <c r="P6" s="23">
        <f>VLOOKUP(J6,[1]สูตร!$A$14:$D$19,4)</f>
        <v>1</v>
      </c>
      <c r="Q6" s="32">
        <f t="shared" si="1"/>
        <v>0</v>
      </c>
      <c r="R6" s="32">
        <f t="shared" si="2"/>
        <v>0</v>
      </c>
      <c r="S6" s="32"/>
      <c r="T6" s="7"/>
      <c r="U6" s="7"/>
      <c r="V6" s="7"/>
      <c r="W6" s="7"/>
      <c r="X6" s="7"/>
      <c r="Y6" s="7"/>
    </row>
    <row r="7" spans="1:25">
      <c r="A7" s="15">
        <v>3</v>
      </c>
      <c r="B7" s="15"/>
      <c r="C7" s="25" t="s">
        <v>7</v>
      </c>
      <c r="D7" s="26" t="s">
        <v>209</v>
      </c>
      <c r="E7" s="26" t="s">
        <v>210</v>
      </c>
      <c r="F7" s="27">
        <v>216332</v>
      </c>
      <c r="G7" s="28">
        <v>236802</v>
      </c>
      <c r="H7" s="29">
        <v>11160</v>
      </c>
      <c r="I7" s="30">
        <f t="shared" si="3"/>
        <v>238246</v>
      </c>
      <c r="J7" s="31">
        <f t="shared" si="4"/>
        <v>75</v>
      </c>
      <c r="K7" s="31">
        <f t="shared" si="0"/>
        <v>3</v>
      </c>
      <c r="L7" s="31">
        <f t="shared" si="5"/>
        <v>19</v>
      </c>
      <c r="M7" s="15">
        <f t="shared" si="6"/>
        <v>0</v>
      </c>
      <c r="N7" s="21">
        <f t="shared" si="7"/>
        <v>11160</v>
      </c>
      <c r="O7" s="32">
        <f>N7*VLOOKUP($K7,[1]สูตร!$A$5:$D$10,4)</f>
        <v>66960</v>
      </c>
      <c r="P7" s="23">
        <f>VLOOKUP(J7,[1]สูตร!$A$14:$D$19,4)</f>
        <v>1</v>
      </c>
      <c r="Q7" s="32">
        <f t="shared" si="1"/>
        <v>66960</v>
      </c>
      <c r="R7" s="32">
        <f t="shared" si="2"/>
        <v>66960</v>
      </c>
      <c r="S7" s="32"/>
      <c r="T7" s="7"/>
      <c r="U7" s="7"/>
      <c r="V7" s="7"/>
      <c r="W7" s="7"/>
      <c r="X7" s="7"/>
      <c r="Y7" s="7"/>
    </row>
    <row r="8" spans="1:25">
      <c r="A8" s="24">
        <v>4</v>
      </c>
      <c r="B8" s="24"/>
      <c r="C8" s="25" t="s">
        <v>12</v>
      </c>
      <c r="D8" s="26" t="s">
        <v>211</v>
      </c>
      <c r="E8" s="26" t="s">
        <v>212</v>
      </c>
      <c r="F8" s="27">
        <v>216590</v>
      </c>
      <c r="G8" s="28">
        <v>235382</v>
      </c>
      <c r="H8" s="29">
        <v>0</v>
      </c>
      <c r="I8" s="30">
        <f t="shared" si="3"/>
        <v>238504</v>
      </c>
      <c r="J8" s="31">
        <f t="shared" si="4"/>
        <v>75</v>
      </c>
      <c r="K8" s="31">
        <f t="shared" si="0"/>
        <v>8</v>
      </c>
      <c r="L8" s="31">
        <f t="shared" si="5"/>
        <v>23</v>
      </c>
      <c r="M8" s="15">
        <f t="shared" si="6"/>
        <v>0</v>
      </c>
      <c r="N8" s="21">
        <f t="shared" si="7"/>
        <v>0</v>
      </c>
      <c r="O8" s="32">
        <f>N8*VLOOKUP($K8,[1]สูตร!$A$5:$D$10,4)</f>
        <v>0</v>
      </c>
      <c r="P8" s="23">
        <f>VLOOKUP(J8,[1]สูตร!$A$14:$D$19,4)</f>
        <v>1</v>
      </c>
      <c r="Q8" s="32">
        <f t="shared" si="1"/>
        <v>0</v>
      </c>
      <c r="R8" s="32">
        <f t="shared" si="2"/>
        <v>0</v>
      </c>
      <c r="S8" s="32"/>
      <c r="T8" s="7"/>
      <c r="U8" s="7"/>
      <c r="V8" s="7"/>
      <c r="W8" s="7"/>
      <c r="X8" s="7"/>
      <c r="Y8" s="7"/>
    </row>
    <row r="9" spans="1:25">
      <c r="A9" s="15">
        <v>5</v>
      </c>
      <c r="B9" s="15"/>
      <c r="C9" s="25" t="s">
        <v>12</v>
      </c>
      <c r="D9" s="26" t="s">
        <v>213</v>
      </c>
      <c r="E9" s="26" t="s">
        <v>214</v>
      </c>
      <c r="F9" s="27">
        <v>217270</v>
      </c>
      <c r="G9" s="28">
        <v>233027</v>
      </c>
      <c r="H9" s="29">
        <v>43600</v>
      </c>
      <c r="I9" s="30">
        <f t="shared" si="3"/>
        <v>239184</v>
      </c>
      <c r="J9" s="31">
        <f t="shared" si="4"/>
        <v>73</v>
      </c>
      <c r="K9" s="31">
        <f t="shared" si="0"/>
        <v>16</v>
      </c>
      <c r="L9" s="31">
        <f t="shared" si="5"/>
        <v>29</v>
      </c>
      <c r="M9" s="15">
        <f t="shared" si="6"/>
        <v>0</v>
      </c>
      <c r="N9" s="21">
        <f t="shared" si="7"/>
        <v>43600</v>
      </c>
      <c r="O9" s="32">
        <f>N9*VLOOKUP($K9,[1]สูตร!$A$5:$D$10,4)</f>
        <v>436000</v>
      </c>
      <c r="P9" s="23">
        <f>VLOOKUP(J9,[1]สูตร!$A$14:$D$19,4)</f>
        <v>1</v>
      </c>
      <c r="Q9" s="32">
        <f t="shared" si="1"/>
        <v>436000</v>
      </c>
      <c r="R9" s="32">
        <f t="shared" si="2"/>
        <v>436000</v>
      </c>
      <c r="S9" s="32"/>
      <c r="T9" s="7"/>
      <c r="U9" s="7"/>
      <c r="V9" s="7"/>
      <c r="W9" s="7"/>
      <c r="X9" s="7"/>
      <c r="Y9" s="7"/>
    </row>
    <row r="10" spans="1:25">
      <c r="A10" s="24">
        <v>6</v>
      </c>
      <c r="B10" s="24"/>
      <c r="C10" s="25" t="s">
        <v>12</v>
      </c>
      <c r="D10" s="26" t="s">
        <v>215</v>
      </c>
      <c r="E10" s="26" t="s">
        <v>216</v>
      </c>
      <c r="F10" s="27">
        <v>217015</v>
      </c>
      <c r="G10" s="28">
        <v>233939</v>
      </c>
      <c r="H10" s="29">
        <v>29400</v>
      </c>
      <c r="I10" s="30">
        <f t="shared" si="3"/>
        <v>238929</v>
      </c>
      <c r="J10" s="31">
        <f t="shared" si="4"/>
        <v>73</v>
      </c>
      <c r="K10" s="31">
        <f t="shared" si="0"/>
        <v>13</v>
      </c>
      <c r="L10" s="31">
        <f t="shared" si="5"/>
        <v>27</v>
      </c>
      <c r="M10" s="15">
        <f t="shared" si="6"/>
        <v>0</v>
      </c>
      <c r="N10" s="21">
        <f t="shared" si="7"/>
        <v>29400</v>
      </c>
      <c r="O10" s="32">
        <f>N10*VLOOKUP($K10,[1]สูตร!$A$5:$D$10,4)</f>
        <v>294000</v>
      </c>
      <c r="P10" s="23">
        <f>VLOOKUP(J10,[1]สูตร!$A$14:$D$19,4)</f>
        <v>1</v>
      </c>
      <c r="Q10" s="32">
        <f t="shared" si="1"/>
        <v>294000</v>
      </c>
      <c r="R10" s="32">
        <f t="shared" si="2"/>
        <v>294000</v>
      </c>
      <c r="S10" s="32"/>
      <c r="T10" s="7"/>
      <c r="U10" s="7"/>
      <c r="V10" s="7"/>
      <c r="W10" s="7"/>
      <c r="X10" s="7"/>
      <c r="Y10" s="7"/>
    </row>
    <row r="11" spans="1:25">
      <c r="A11" s="15">
        <v>7</v>
      </c>
      <c r="B11" s="15"/>
      <c r="C11" s="25" t="s">
        <v>206</v>
      </c>
      <c r="D11" s="26" t="s">
        <v>7</v>
      </c>
      <c r="E11" s="26" t="s">
        <v>217</v>
      </c>
      <c r="F11" s="27">
        <v>217753</v>
      </c>
      <c r="G11" s="28">
        <v>231778</v>
      </c>
      <c r="H11" s="29">
        <v>11100</v>
      </c>
      <c r="I11" s="30">
        <f t="shared" si="3"/>
        <v>239667</v>
      </c>
      <c r="J11" s="31">
        <f t="shared" si="4"/>
        <v>71</v>
      </c>
      <c r="K11" s="31">
        <f t="shared" si="0"/>
        <v>21</v>
      </c>
      <c r="L11" s="31">
        <f t="shared" si="5"/>
        <v>33</v>
      </c>
      <c r="M11" s="15">
        <f t="shared" si="6"/>
        <v>0</v>
      </c>
      <c r="N11" s="21">
        <f t="shared" si="7"/>
        <v>11100</v>
      </c>
      <c r="O11" s="32">
        <f>N11*VLOOKUP($K11,[1]สูตร!$A$5:$D$10,4)</f>
        <v>147963</v>
      </c>
      <c r="P11" s="23">
        <f>VLOOKUP(J11,[1]สูตร!$A$14:$D$19,4)</f>
        <v>1</v>
      </c>
      <c r="Q11" s="32">
        <f t="shared" si="1"/>
        <v>147963</v>
      </c>
      <c r="R11" s="32">
        <f t="shared" si="2"/>
        <v>147963</v>
      </c>
      <c r="S11" s="32"/>
      <c r="T11" s="7"/>
      <c r="U11" s="7"/>
      <c r="V11" s="7"/>
      <c r="W11" s="7"/>
      <c r="X11" s="7"/>
      <c r="Y11" s="7"/>
    </row>
    <row r="12" spans="1:25">
      <c r="A12" s="24">
        <v>8</v>
      </c>
      <c r="B12" s="24"/>
      <c r="C12" s="25" t="s">
        <v>206</v>
      </c>
      <c r="D12" s="26" t="s">
        <v>218</v>
      </c>
      <c r="E12" s="26" t="s">
        <v>219</v>
      </c>
      <c r="F12" s="27">
        <v>217747</v>
      </c>
      <c r="G12" s="28">
        <v>238650</v>
      </c>
      <c r="H12" s="29">
        <v>13800</v>
      </c>
      <c r="I12" s="30">
        <f t="shared" si="3"/>
        <v>239661</v>
      </c>
      <c r="J12" s="31">
        <f t="shared" si="4"/>
        <v>71</v>
      </c>
      <c r="K12" s="31">
        <f t="shared" si="0"/>
        <v>2</v>
      </c>
      <c r="L12" s="31">
        <f t="shared" si="5"/>
        <v>14</v>
      </c>
      <c r="M12" s="15">
        <f t="shared" si="6"/>
        <v>0</v>
      </c>
      <c r="N12" s="21">
        <f t="shared" si="7"/>
        <v>13800</v>
      </c>
      <c r="O12" s="32">
        <f>N12*VLOOKUP($K12,[1]สูตร!$A$5:$D$10,4)</f>
        <v>41400</v>
      </c>
      <c r="P12" s="23">
        <f>VLOOKUP(J12,[1]สูตร!$A$14:$D$19,4)</f>
        <v>1</v>
      </c>
      <c r="Q12" s="32">
        <f t="shared" si="1"/>
        <v>41400</v>
      </c>
      <c r="R12" s="32">
        <f t="shared" si="2"/>
        <v>41400</v>
      </c>
      <c r="S12" s="32"/>
      <c r="T12" s="7"/>
      <c r="U12" s="7"/>
      <c r="V12" s="7"/>
      <c r="W12" s="7"/>
      <c r="X12" s="7"/>
      <c r="Y12" s="7"/>
    </row>
    <row r="13" spans="1:25">
      <c r="A13" s="15">
        <v>9</v>
      </c>
      <c r="B13" s="15"/>
      <c r="C13" s="25" t="s">
        <v>206</v>
      </c>
      <c r="D13" s="26" t="s">
        <v>220</v>
      </c>
      <c r="E13" s="26" t="s">
        <v>221</v>
      </c>
      <c r="F13" s="27">
        <v>218092</v>
      </c>
      <c r="G13" s="28">
        <v>239251</v>
      </c>
      <c r="H13" s="29">
        <v>10590</v>
      </c>
      <c r="I13" s="30">
        <f t="shared" si="3"/>
        <v>240006</v>
      </c>
      <c r="J13" s="31">
        <f t="shared" si="4"/>
        <v>70</v>
      </c>
      <c r="K13" s="31">
        <f t="shared" si="0"/>
        <v>2</v>
      </c>
      <c r="L13" s="31">
        <f t="shared" si="5"/>
        <v>12</v>
      </c>
      <c r="M13" s="15">
        <f t="shared" si="6"/>
        <v>0</v>
      </c>
      <c r="N13" s="21">
        <f t="shared" si="7"/>
        <v>10590</v>
      </c>
      <c r="O13" s="32">
        <f>N13*VLOOKUP($K13,[1]สูตร!$A$5:$D$10,4)</f>
        <v>31770</v>
      </c>
      <c r="P13" s="23">
        <f>VLOOKUP(J13,[1]สูตร!$A$14:$D$19,4)</f>
        <v>1</v>
      </c>
      <c r="Q13" s="32">
        <f t="shared" si="1"/>
        <v>31770</v>
      </c>
      <c r="R13" s="32">
        <f t="shared" si="2"/>
        <v>31770</v>
      </c>
      <c r="S13" s="32"/>
      <c r="T13" s="7"/>
      <c r="U13" s="7"/>
      <c r="V13" s="7"/>
      <c r="W13" s="7"/>
      <c r="X13" s="7"/>
      <c r="Y13" s="7"/>
    </row>
    <row r="14" spans="1:25">
      <c r="A14" s="24">
        <v>10</v>
      </c>
      <c r="B14" s="24"/>
      <c r="C14" s="25" t="s">
        <v>206</v>
      </c>
      <c r="D14" s="5" t="s">
        <v>222</v>
      </c>
      <c r="E14" s="26" t="s">
        <v>223</v>
      </c>
      <c r="F14" s="27">
        <v>218607</v>
      </c>
      <c r="G14" s="28">
        <v>235765</v>
      </c>
      <c r="H14" s="29">
        <v>0</v>
      </c>
      <c r="I14" s="30">
        <f t="shared" si="3"/>
        <v>240521</v>
      </c>
      <c r="J14" s="31">
        <f t="shared" si="4"/>
        <v>69</v>
      </c>
      <c r="K14" s="31">
        <f t="shared" si="0"/>
        <v>13</v>
      </c>
      <c r="L14" s="31">
        <f t="shared" si="5"/>
        <v>22</v>
      </c>
      <c r="M14" s="15">
        <f t="shared" si="6"/>
        <v>0</v>
      </c>
      <c r="N14" s="21">
        <f t="shared" si="7"/>
        <v>0</v>
      </c>
      <c r="O14" s="32">
        <f>N14*VLOOKUP($K14,[1]สูตร!$A$5:$D$10,4)</f>
        <v>0</v>
      </c>
      <c r="P14" s="23">
        <f>VLOOKUP(J14,[1]สูตร!$A$14:$D$19,4)</f>
        <v>1</v>
      </c>
      <c r="Q14" s="32">
        <f t="shared" si="1"/>
        <v>0</v>
      </c>
      <c r="R14" s="32">
        <f t="shared" si="2"/>
        <v>0</v>
      </c>
      <c r="S14" s="32"/>
      <c r="T14" s="7"/>
      <c r="U14" s="7"/>
      <c r="V14" s="7"/>
      <c r="W14" s="7"/>
      <c r="X14" s="7"/>
      <c r="Y14" s="7"/>
    </row>
    <row r="15" spans="1:25">
      <c r="A15" s="15">
        <v>11</v>
      </c>
      <c r="B15" s="15"/>
      <c r="C15" s="25" t="s">
        <v>12</v>
      </c>
      <c r="D15" s="26" t="s">
        <v>224</v>
      </c>
      <c r="E15" s="26" t="s">
        <v>225</v>
      </c>
      <c r="F15" s="27">
        <v>219273</v>
      </c>
      <c r="G15" s="28">
        <v>232664</v>
      </c>
      <c r="H15" s="29">
        <v>10590</v>
      </c>
      <c r="I15" s="30">
        <f t="shared" si="3"/>
        <v>241188</v>
      </c>
      <c r="J15" s="31">
        <f t="shared" si="4"/>
        <v>67</v>
      </c>
      <c r="K15" s="31">
        <f t="shared" si="0"/>
        <v>23</v>
      </c>
      <c r="L15" s="31">
        <f t="shared" si="5"/>
        <v>30</v>
      </c>
      <c r="M15" s="15">
        <f t="shared" si="6"/>
        <v>0</v>
      </c>
      <c r="N15" s="21">
        <f t="shared" si="7"/>
        <v>10590</v>
      </c>
      <c r="O15" s="32">
        <f>N15*VLOOKUP($K15,[1]สูตร!$A$5:$D$10,4)</f>
        <v>141164.70000000001</v>
      </c>
      <c r="P15" s="23">
        <f>VLOOKUP(J15,[1]สูตร!$A$14:$D$19,4)</f>
        <v>1</v>
      </c>
      <c r="Q15" s="32">
        <f t="shared" si="1"/>
        <v>141164.70000000001</v>
      </c>
      <c r="R15" s="32">
        <f t="shared" si="2"/>
        <v>141164.70000000001</v>
      </c>
      <c r="S15" s="32"/>
      <c r="T15" s="7"/>
      <c r="U15" s="7"/>
      <c r="V15" s="7"/>
      <c r="W15" s="7"/>
      <c r="X15" s="7"/>
      <c r="Y15" s="7"/>
    </row>
    <row r="16" spans="1:25">
      <c r="A16" s="24">
        <v>12</v>
      </c>
      <c r="B16" s="24"/>
      <c r="C16" s="25" t="s">
        <v>12</v>
      </c>
      <c r="D16" s="26" t="s">
        <v>226</v>
      </c>
      <c r="E16" s="26" t="s">
        <v>227</v>
      </c>
      <c r="F16" s="27">
        <v>219395</v>
      </c>
      <c r="G16" s="28">
        <v>230470</v>
      </c>
      <c r="H16" s="29">
        <v>61000</v>
      </c>
      <c r="I16" s="30">
        <f t="shared" si="3"/>
        <v>241310</v>
      </c>
      <c r="J16" s="31">
        <f t="shared" si="4"/>
        <v>67</v>
      </c>
      <c r="K16" s="31">
        <f t="shared" si="0"/>
        <v>29</v>
      </c>
      <c r="L16" s="31">
        <f t="shared" si="5"/>
        <v>36</v>
      </c>
      <c r="M16" s="15">
        <f t="shared" si="6"/>
        <v>0</v>
      </c>
      <c r="N16" s="21">
        <f t="shared" si="7"/>
        <v>61000</v>
      </c>
      <c r="O16" s="32">
        <f>N16*VLOOKUP($K16,[1]สูตร!$A$5:$D$10,4)</f>
        <v>813130</v>
      </c>
      <c r="P16" s="23">
        <f>VLOOKUP(J16,[1]สูตร!$A$14:$D$19,4)</f>
        <v>1</v>
      </c>
      <c r="Q16" s="32">
        <f t="shared" si="1"/>
        <v>813130</v>
      </c>
      <c r="R16" s="32">
        <f t="shared" si="2"/>
        <v>813130</v>
      </c>
      <c r="S16" s="32"/>
      <c r="T16" s="7"/>
      <c r="U16" s="7"/>
      <c r="V16" s="7"/>
      <c r="W16" s="7"/>
      <c r="X16" s="7"/>
      <c r="Y16" s="7"/>
    </row>
    <row r="17" spans="1:25">
      <c r="A17" s="15">
        <v>13</v>
      </c>
      <c r="B17" s="15"/>
      <c r="C17" s="25" t="s">
        <v>206</v>
      </c>
      <c r="D17" s="26" t="s">
        <v>228</v>
      </c>
      <c r="E17" s="26" t="s">
        <v>229</v>
      </c>
      <c r="F17" s="27">
        <v>219459</v>
      </c>
      <c r="G17" s="28">
        <v>237011</v>
      </c>
      <c r="H17" s="33">
        <v>10590</v>
      </c>
      <c r="I17" s="30">
        <f t="shared" si="3"/>
        <v>241374</v>
      </c>
      <c r="J17" s="31">
        <f t="shared" si="4"/>
        <v>67</v>
      </c>
      <c r="K17" s="31">
        <f t="shared" si="0"/>
        <v>11</v>
      </c>
      <c r="L17" s="31">
        <f t="shared" si="5"/>
        <v>19</v>
      </c>
      <c r="M17" s="15">
        <f t="shared" si="6"/>
        <v>0</v>
      </c>
      <c r="N17" s="21">
        <f t="shared" si="7"/>
        <v>10590</v>
      </c>
      <c r="O17" s="32">
        <f>N17*VLOOKUP($K17,[1]สูตร!$A$5:$D$10,4)</f>
        <v>105900</v>
      </c>
      <c r="P17" s="23">
        <f>VLOOKUP(J17,[1]สูตร!$A$14:$D$19,4)</f>
        <v>1</v>
      </c>
      <c r="Q17" s="32">
        <f t="shared" si="1"/>
        <v>105900</v>
      </c>
      <c r="R17" s="32">
        <f t="shared" si="2"/>
        <v>105900</v>
      </c>
      <c r="S17" s="32"/>
      <c r="T17" s="7"/>
      <c r="U17" s="7"/>
      <c r="V17" s="7"/>
      <c r="W17" s="7"/>
      <c r="X17" s="7"/>
      <c r="Y17" s="7"/>
    </row>
    <row r="18" spans="1:25">
      <c r="A18" s="24">
        <v>14</v>
      </c>
      <c r="B18" s="24"/>
      <c r="C18" s="25" t="s">
        <v>206</v>
      </c>
      <c r="D18" s="26" t="s">
        <v>230</v>
      </c>
      <c r="E18" s="26" t="s">
        <v>231</v>
      </c>
      <c r="F18" s="27">
        <v>219179</v>
      </c>
      <c r="G18" s="28">
        <v>240722</v>
      </c>
      <c r="H18" s="33"/>
      <c r="I18" s="30">
        <f t="shared" si="3"/>
        <v>241093</v>
      </c>
      <c r="J18" s="31">
        <f t="shared" si="4"/>
        <v>67</v>
      </c>
      <c r="K18" s="31">
        <f t="shared" si="0"/>
        <v>1</v>
      </c>
      <c r="L18" s="31">
        <f t="shared" si="5"/>
        <v>8</v>
      </c>
      <c r="M18" s="15">
        <f t="shared" si="6"/>
        <v>0</v>
      </c>
      <c r="N18" s="21">
        <f t="shared" si="7"/>
        <v>0</v>
      </c>
      <c r="O18" s="32">
        <f>N18*VLOOKUP($K18,[1]สูตร!$A$5:$D$10,4)</f>
        <v>0</v>
      </c>
      <c r="P18" s="23">
        <f>VLOOKUP(J18,[1]สูตร!$A$14:$D$19,4)</f>
        <v>1</v>
      </c>
      <c r="Q18" s="32">
        <f t="shared" si="1"/>
        <v>0</v>
      </c>
      <c r="R18" s="32">
        <f t="shared" si="2"/>
        <v>0</v>
      </c>
      <c r="S18" s="32"/>
      <c r="T18" s="7"/>
      <c r="U18" s="7"/>
      <c r="V18" s="7"/>
      <c r="W18" s="7"/>
      <c r="X18" s="7"/>
      <c r="Y18" s="7"/>
    </row>
    <row r="19" spans="1:25">
      <c r="A19" s="15">
        <v>15</v>
      </c>
      <c r="B19" s="15"/>
      <c r="C19" s="25" t="s">
        <v>7</v>
      </c>
      <c r="D19" s="26" t="s">
        <v>232</v>
      </c>
      <c r="E19" s="26" t="s">
        <v>227</v>
      </c>
      <c r="F19" s="27">
        <v>219607</v>
      </c>
      <c r="G19" s="28">
        <v>230470</v>
      </c>
      <c r="H19" s="33">
        <v>28800</v>
      </c>
      <c r="I19" s="30">
        <f t="shared" si="3"/>
        <v>241522</v>
      </c>
      <c r="J19" s="31">
        <f t="shared" si="4"/>
        <v>66</v>
      </c>
      <c r="K19" s="31">
        <f t="shared" si="0"/>
        <v>30</v>
      </c>
      <c r="L19" s="31">
        <f t="shared" si="5"/>
        <v>36</v>
      </c>
      <c r="M19" s="15">
        <f t="shared" si="6"/>
        <v>0</v>
      </c>
      <c r="N19" s="21">
        <f t="shared" si="7"/>
        <v>28800</v>
      </c>
      <c r="O19" s="32">
        <f>N19*VLOOKUP($K19,[1]สูตร!$A$5:$D$10,4)</f>
        <v>383904</v>
      </c>
      <c r="P19" s="23">
        <f>VLOOKUP(J19,[1]สูตร!$A$14:$D$19,4)</f>
        <v>1</v>
      </c>
      <c r="Q19" s="32">
        <f t="shared" si="1"/>
        <v>383904</v>
      </c>
      <c r="R19" s="32">
        <f t="shared" si="2"/>
        <v>383904</v>
      </c>
      <c r="S19" s="32"/>
      <c r="T19" s="7"/>
      <c r="U19" s="7"/>
      <c r="V19" s="7"/>
      <c r="W19" s="7"/>
      <c r="X19" s="7"/>
      <c r="Y19" s="7"/>
    </row>
    <row r="20" spans="1:25">
      <c r="A20" s="24">
        <v>16</v>
      </c>
      <c r="B20" s="24"/>
      <c r="C20" s="25" t="s">
        <v>7</v>
      </c>
      <c r="D20" s="26" t="s">
        <v>233</v>
      </c>
      <c r="E20" s="26" t="s">
        <v>234</v>
      </c>
      <c r="F20" s="27">
        <v>219861</v>
      </c>
      <c r="G20" s="28">
        <v>231201</v>
      </c>
      <c r="H20" s="29">
        <v>48500</v>
      </c>
      <c r="I20" s="30">
        <f t="shared" si="3"/>
        <v>241776</v>
      </c>
      <c r="J20" s="31">
        <f t="shared" si="4"/>
        <v>66</v>
      </c>
      <c r="K20" s="31">
        <f t="shared" si="0"/>
        <v>28</v>
      </c>
      <c r="L20" s="31">
        <f t="shared" si="5"/>
        <v>34</v>
      </c>
      <c r="M20" s="15">
        <f t="shared" si="6"/>
        <v>0</v>
      </c>
      <c r="N20" s="21">
        <f t="shared" si="7"/>
        <v>48500</v>
      </c>
      <c r="O20" s="32">
        <f>N20*VLOOKUP($K20,[1]สูตร!$A$5:$D$10,4)</f>
        <v>646505</v>
      </c>
      <c r="P20" s="23">
        <f>VLOOKUP(J20,[1]สูตร!$A$14:$D$19,4)</f>
        <v>1</v>
      </c>
      <c r="Q20" s="32">
        <f t="shared" si="1"/>
        <v>646505</v>
      </c>
      <c r="R20" s="32">
        <f t="shared" si="2"/>
        <v>646505</v>
      </c>
      <c r="S20" s="32"/>
      <c r="T20" s="7"/>
      <c r="U20" s="7"/>
      <c r="V20" s="7"/>
      <c r="W20" s="7"/>
      <c r="X20" s="7"/>
      <c r="Y20" s="7"/>
    </row>
    <row r="21" spans="1:25">
      <c r="A21" s="15">
        <v>17</v>
      </c>
      <c r="B21" s="15"/>
      <c r="C21" s="25" t="s">
        <v>12</v>
      </c>
      <c r="D21" s="26" t="s">
        <v>235</v>
      </c>
      <c r="E21" s="26" t="s">
        <v>236</v>
      </c>
      <c r="F21" s="27">
        <v>219859</v>
      </c>
      <c r="G21" s="28">
        <v>238707</v>
      </c>
      <c r="H21" s="29">
        <v>16500</v>
      </c>
      <c r="I21" s="30">
        <f t="shared" si="3"/>
        <v>241774</v>
      </c>
      <c r="J21" s="31">
        <f t="shared" si="4"/>
        <v>66</v>
      </c>
      <c r="K21" s="31">
        <f t="shared" si="0"/>
        <v>8</v>
      </c>
      <c r="L21" s="31">
        <f t="shared" si="5"/>
        <v>14</v>
      </c>
      <c r="M21" s="15">
        <f t="shared" si="6"/>
        <v>0</v>
      </c>
      <c r="N21" s="21">
        <f t="shared" si="7"/>
        <v>16500</v>
      </c>
      <c r="O21" s="32">
        <f>N21*VLOOKUP($K21,[1]สูตร!$A$5:$D$10,4)</f>
        <v>132000</v>
      </c>
      <c r="P21" s="23">
        <f>VLOOKUP(J21,[1]สูตร!$A$14:$D$19,4)</f>
        <v>1</v>
      </c>
      <c r="Q21" s="32">
        <f t="shared" si="1"/>
        <v>132000</v>
      </c>
      <c r="R21" s="32">
        <f t="shared" si="2"/>
        <v>132000</v>
      </c>
      <c r="S21" s="32"/>
      <c r="T21" s="7"/>
      <c r="U21" s="7"/>
      <c r="V21" s="7"/>
      <c r="W21" s="7"/>
      <c r="X21" s="7"/>
      <c r="Y21" s="7"/>
    </row>
    <row r="22" spans="1:25">
      <c r="A22" s="24">
        <v>18</v>
      </c>
      <c r="B22" s="24"/>
      <c r="C22" s="25" t="s">
        <v>7</v>
      </c>
      <c r="D22" s="26" t="s">
        <v>237</v>
      </c>
      <c r="E22" s="26" t="s">
        <v>238</v>
      </c>
      <c r="F22" s="27">
        <v>220040</v>
      </c>
      <c r="G22" s="28">
        <v>235187</v>
      </c>
      <c r="H22" s="29">
        <v>0</v>
      </c>
      <c r="I22" s="30">
        <f t="shared" si="3"/>
        <v>241955</v>
      </c>
      <c r="J22" s="31">
        <f t="shared" si="4"/>
        <v>65</v>
      </c>
      <c r="K22" s="31">
        <f t="shared" si="0"/>
        <v>18</v>
      </c>
      <c r="L22" s="31">
        <f t="shared" si="5"/>
        <v>24</v>
      </c>
      <c r="M22" s="15">
        <f t="shared" si="6"/>
        <v>0</v>
      </c>
      <c r="N22" s="21">
        <f t="shared" si="7"/>
        <v>0</v>
      </c>
      <c r="O22" s="32">
        <f>N22*VLOOKUP($K22,[1]สูตร!$A$5:$D$10,4)</f>
        <v>0</v>
      </c>
      <c r="P22" s="23">
        <f>VLOOKUP(J22,[1]สูตร!$A$14:$D$19,4)</f>
        <v>1</v>
      </c>
      <c r="Q22" s="32">
        <f t="shared" si="1"/>
        <v>0</v>
      </c>
      <c r="R22" s="32">
        <f t="shared" si="2"/>
        <v>0</v>
      </c>
      <c r="S22" s="32"/>
      <c r="T22" s="7"/>
      <c r="U22" s="7"/>
      <c r="V22" s="7"/>
      <c r="W22" s="7"/>
      <c r="X22" s="7"/>
      <c r="Y22" s="7"/>
    </row>
    <row r="23" spans="1:25">
      <c r="A23" s="15">
        <v>19</v>
      </c>
      <c r="B23" s="15"/>
      <c r="C23" s="25" t="s">
        <v>12</v>
      </c>
      <c r="D23" s="26" t="s">
        <v>239</v>
      </c>
      <c r="E23" s="26" t="s">
        <v>240</v>
      </c>
      <c r="F23" s="27">
        <v>220037</v>
      </c>
      <c r="G23" s="28">
        <v>230590</v>
      </c>
      <c r="H23" s="29">
        <v>21390</v>
      </c>
      <c r="I23" s="30">
        <f t="shared" si="3"/>
        <v>241952</v>
      </c>
      <c r="J23" s="31">
        <f t="shared" si="4"/>
        <v>65</v>
      </c>
      <c r="K23" s="31">
        <f t="shared" si="0"/>
        <v>31</v>
      </c>
      <c r="L23" s="31">
        <f t="shared" si="5"/>
        <v>36</v>
      </c>
      <c r="M23" s="15">
        <f t="shared" si="6"/>
        <v>0</v>
      </c>
      <c r="N23" s="21">
        <f t="shared" si="7"/>
        <v>21390</v>
      </c>
      <c r="O23" s="32">
        <f>N23*VLOOKUP($K23,[1]สูตร!$A$5:$D$10,4)</f>
        <v>285128.7</v>
      </c>
      <c r="P23" s="23">
        <f>VLOOKUP(J23,[1]สูตร!$A$14:$D$19,4)</f>
        <v>1</v>
      </c>
      <c r="Q23" s="32">
        <f t="shared" si="1"/>
        <v>285128.7</v>
      </c>
      <c r="R23" s="32">
        <f t="shared" si="2"/>
        <v>285128.7</v>
      </c>
      <c r="S23" s="32"/>
      <c r="T23" s="7"/>
      <c r="U23" s="7"/>
      <c r="V23" s="7"/>
      <c r="W23" s="7"/>
      <c r="X23" s="7"/>
      <c r="Y23" s="7"/>
    </row>
    <row r="24" spans="1:25">
      <c r="A24" s="24">
        <v>20</v>
      </c>
      <c r="B24" s="24"/>
      <c r="C24" s="25" t="s">
        <v>12</v>
      </c>
      <c r="D24" s="26" t="s">
        <v>241</v>
      </c>
      <c r="E24" s="26" t="s">
        <v>242</v>
      </c>
      <c r="F24" s="27">
        <v>219887</v>
      </c>
      <c r="G24" s="28">
        <v>232777</v>
      </c>
      <c r="H24" s="29">
        <v>10590</v>
      </c>
      <c r="I24" s="30">
        <f t="shared" si="3"/>
        <v>241802</v>
      </c>
      <c r="J24" s="31">
        <f t="shared" si="4"/>
        <v>65</v>
      </c>
      <c r="K24" s="31">
        <f t="shared" si="0"/>
        <v>24</v>
      </c>
      <c r="L24" s="31">
        <f t="shared" si="5"/>
        <v>30</v>
      </c>
      <c r="M24" s="15">
        <f t="shared" si="6"/>
        <v>0</v>
      </c>
      <c r="N24" s="21">
        <f t="shared" si="7"/>
        <v>10590</v>
      </c>
      <c r="O24" s="32">
        <f>N24*VLOOKUP($K24,[1]สูตร!$A$5:$D$10,4)</f>
        <v>141164.70000000001</v>
      </c>
      <c r="P24" s="23">
        <f>VLOOKUP(J24,[1]สูตร!$A$14:$D$19,4)</f>
        <v>1</v>
      </c>
      <c r="Q24" s="32">
        <f t="shared" si="1"/>
        <v>141164.70000000001</v>
      </c>
      <c r="R24" s="32">
        <f t="shared" si="2"/>
        <v>141164.70000000001</v>
      </c>
      <c r="S24" s="32"/>
      <c r="T24" s="7"/>
      <c r="U24" s="7"/>
      <c r="V24" s="7"/>
      <c r="W24" s="7"/>
      <c r="X24" s="7"/>
      <c r="Y24" s="7"/>
    </row>
    <row r="25" spans="1:25">
      <c r="A25" s="15">
        <v>21</v>
      </c>
      <c r="B25" s="15"/>
      <c r="C25" s="25" t="s">
        <v>7</v>
      </c>
      <c r="D25" s="26" t="s">
        <v>243</v>
      </c>
      <c r="E25" s="26" t="s">
        <v>244</v>
      </c>
      <c r="F25" s="27">
        <v>220229</v>
      </c>
      <c r="G25" s="28">
        <v>237228</v>
      </c>
      <c r="H25" s="29">
        <v>11130</v>
      </c>
      <c r="I25" s="30">
        <f t="shared" si="3"/>
        <v>242144</v>
      </c>
      <c r="J25" s="31">
        <f t="shared" si="4"/>
        <v>65</v>
      </c>
      <c r="K25" s="31">
        <f t="shared" si="0"/>
        <v>13</v>
      </c>
      <c r="L25" s="31">
        <f t="shared" si="5"/>
        <v>18</v>
      </c>
      <c r="M25" s="15">
        <f t="shared" si="6"/>
        <v>0</v>
      </c>
      <c r="N25" s="21">
        <f t="shared" si="7"/>
        <v>11130</v>
      </c>
      <c r="O25" s="32">
        <f>N25*VLOOKUP($K25,[1]สูตร!$A$5:$D$10,4)</f>
        <v>111300</v>
      </c>
      <c r="P25" s="23">
        <f>VLOOKUP(J25,[1]สูตร!$A$14:$D$19,4)</f>
        <v>1</v>
      </c>
      <c r="Q25" s="32">
        <f t="shared" si="1"/>
        <v>111300</v>
      </c>
      <c r="R25" s="32">
        <f t="shared" si="2"/>
        <v>111300</v>
      </c>
      <c r="S25" s="32"/>
      <c r="T25" s="7"/>
      <c r="U25" s="7"/>
      <c r="V25" s="7"/>
      <c r="W25" s="7"/>
      <c r="X25" s="7"/>
      <c r="Y25" s="7"/>
    </row>
    <row r="26" spans="1:25">
      <c r="A26" s="24">
        <v>22</v>
      </c>
      <c r="B26" s="24"/>
      <c r="C26" s="25" t="s">
        <v>7</v>
      </c>
      <c r="D26" s="26" t="s">
        <v>245</v>
      </c>
      <c r="E26" s="26" t="s">
        <v>246</v>
      </c>
      <c r="F26" s="27">
        <v>220248</v>
      </c>
      <c r="G26" s="28">
        <v>233501</v>
      </c>
      <c r="H26" s="29">
        <v>10590</v>
      </c>
      <c r="I26" s="30">
        <f t="shared" si="3"/>
        <v>242163</v>
      </c>
      <c r="J26" s="31">
        <f t="shared" si="4"/>
        <v>64</v>
      </c>
      <c r="K26" s="31">
        <f t="shared" si="0"/>
        <v>23</v>
      </c>
      <c r="L26" s="31">
        <f t="shared" si="5"/>
        <v>28</v>
      </c>
      <c r="M26" s="15">
        <f t="shared" si="6"/>
        <v>0</v>
      </c>
      <c r="N26" s="21">
        <f t="shared" si="7"/>
        <v>10590</v>
      </c>
      <c r="O26" s="32">
        <f>N26*VLOOKUP($K26,[1]สูตร!$A$5:$D$10,4)</f>
        <v>141164.70000000001</v>
      </c>
      <c r="P26" s="23">
        <f>VLOOKUP(J26,[1]สูตร!$A$14:$D$19,4)</f>
        <v>1</v>
      </c>
      <c r="Q26" s="32">
        <f t="shared" si="1"/>
        <v>141164.70000000001</v>
      </c>
      <c r="R26" s="32">
        <f t="shared" si="2"/>
        <v>141164.70000000001</v>
      </c>
      <c r="S26" s="32"/>
      <c r="T26" s="7"/>
      <c r="U26" s="7"/>
      <c r="V26" s="7"/>
      <c r="W26" s="7"/>
      <c r="X26" s="7"/>
      <c r="Y26" s="7"/>
    </row>
    <row r="27" spans="1:25">
      <c r="A27" s="15">
        <v>23</v>
      </c>
      <c r="B27" s="15"/>
      <c r="C27" s="25" t="s">
        <v>12</v>
      </c>
      <c r="D27" s="26" t="s">
        <v>247</v>
      </c>
      <c r="E27" s="26" t="s">
        <v>248</v>
      </c>
      <c r="F27" s="27">
        <v>220346</v>
      </c>
      <c r="G27" s="28">
        <v>233553</v>
      </c>
      <c r="H27" s="29">
        <v>14700</v>
      </c>
      <c r="I27" s="30">
        <f t="shared" si="3"/>
        <v>242261</v>
      </c>
      <c r="J27" s="31">
        <f t="shared" si="4"/>
        <v>64</v>
      </c>
      <c r="K27" s="31">
        <f t="shared" si="0"/>
        <v>23</v>
      </c>
      <c r="L27" s="31">
        <f t="shared" si="5"/>
        <v>28</v>
      </c>
      <c r="M27" s="15">
        <f t="shared" si="6"/>
        <v>0</v>
      </c>
      <c r="N27" s="21">
        <f t="shared" si="7"/>
        <v>14700</v>
      </c>
      <c r="O27" s="32">
        <f>N27*VLOOKUP($K27,[1]สูตร!$A$5:$D$10,4)</f>
        <v>195951</v>
      </c>
      <c r="P27" s="23">
        <f>VLOOKUP(J27,[1]สูตร!$A$14:$D$19,4)</f>
        <v>1</v>
      </c>
      <c r="Q27" s="32">
        <f t="shared" si="1"/>
        <v>195951</v>
      </c>
      <c r="R27" s="32">
        <f t="shared" si="2"/>
        <v>195951</v>
      </c>
      <c r="S27" s="32"/>
      <c r="T27" s="7"/>
      <c r="U27" s="7"/>
      <c r="V27" s="7"/>
      <c r="W27" s="7"/>
      <c r="X27" s="7"/>
      <c r="Y27" s="7"/>
    </row>
    <row r="28" spans="1:25">
      <c r="A28" s="24">
        <v>24</v>
      </c>
      <c r="B28" s="24"/>
      <c r="C28" s="25" t="s">
        <v>12</v>
      </c>
      <c r="D28" s="26" t="s">
        <v>97</v>
      </c>
      <c r="E28" s="26" t="s">
        <v>249</v>
      </c>
      <c r="F28" s="27">
        <v>220373</v>
      </c>
      <c r="G28" s="28">
        <v>231778</v>
      </c>
      <c r="H28" s="29">
        <v>10590</v>
      </c>
      <c r="I28" s="30">
        <f t="shared" si="3"/>
        <v>242288</v>
      </c>
      <c r="J28" s="31">
        <f t="shared" si="4"/>
        <v>64</v>
      </c>
      <c r="K28" s="31">
        <f t="shared" si="0"/>
        <v>28</v>
      </c>
      <c r="L28" s="31">
        <f t="shared" si="5"/>
        <v>33</v>
      </c>
      <c r="M28" s="15">
        <f t="shared" si="6"/>
        <v>0</v>
      </c>
      <c r="N28" s="21">
        <f t="shared" si="7"/>
        <v>10590</v>
      </c>
      <c r="O28" s="32">
        <f>N28*VLOOKUP($K28,[1]สูตร!$A$5:$D$10,4)</f>
        <v>141164.70000000001</v>
      </c>
      <c r="P28" s="23">
        <f>VLOOKUP(J28,[1]สูตร!$A$14:$D$19,4)</f>
        <v>1</v>
      </c>
      <c r="Q28" s="32">
        <f t="shared" si="1"/>
        <v>141164.70000000001</v>
      </c>
      <c r="R28" s="32">
        <f t="shared" si="2"/>
        <v>141164.70000000001</v>
      </c>
      <c r="S28" s="32"/>
      <c r="T28" s="7"/>
      <c r="U28" s="7"/>
      <c r="V28" s="7"/>
      <c r="W28" s="7"/>
      <c r="X28" s="7"/>
      <c r="Y28" s="7"/>
    </row>
    <row r="29" spans="1:25">
      <c r="A29" s="15">
        <v>25</v>
      </c>
      <c r="B29" s="15"/>
      <c r="C29" s="25" t="s">
        <v>7</v>
      </c>
      <c r="D29" s="26" t="s">
        <v>250</v>
      </c>
      <c r="E29" s="26" t="s">
        <v>214</v>
      </c>
      <c r="F29" s="27">
        <v>220475</v>
      </c>
      <c r="G29" s="28">
        <v>234374</v>
      </c>
      <c r="H29" s="29">
        <v>0</v>
      </c>
      <c r="I29" s="30">
        <f t="shared" si="3"/>
        <v>242390</v>
      </c>
      <c r="J29" s="31">
        <f t="shared" si="4"/>
        <v>64</v>
      </c>
      <c r="K29" s="31">
        <f t="shared" si="0"/>
        <v>21</v>
      </c>
      <c r="L29" s="31">
        <f t="shared" si="5"/>
        <v>26</v>
      </c>
      <c r="M29" s="15">
        <f t="shared" si="6"/>
        <v>0</v>
      </c>
      <c r="N29" s="21">
        <f t="shared" si="7"/>
        <v>0</v>
      </c>
      <c r="O29" s="32">
        <f>N29*VLOOKUP($K29,[1]สูตร!$A$5:$D$10,4)</f>
        <v>0</v>
      </c>
      <c r="P29" s="23">
        <f>VLOOKUP(J29,[1]สูตร!$A$14:$D$19,4)</f>
        <v>1</v>
      </c>
      <c r="Q29" s="32">
        <f t="shared" si="1"/>
        <v>0</v>
      </c>
      <c r="R29" s="32">
        <f t="shared" si="2"/>
        <v>0</v>
      </c>
      <c r="S29" s="32"/>
      <c r="T29" s="7"/>
      <c r="U29" s="7"/>
      <c r="V29" s="7"/>
      <c r="W29" s="7"/>
      <c r="X29" s="7"/>
      <c r="Y29" s="7"/>
    </row>
    <row r="30" spans="1:25">
      <c r="A30" s="24">
        <v>26</v>
      </c>
      <c r="B30" s="24"/>
      <c r="C30" s="25" t="s">
        <v>206</v>
      </c>
      <c r="D30" s="26" t="s">
        <v>251</v>
      </c>
      <c r="E30" s="26" t="s">
        <v>231</v>
      </c>
      <c r="F30" s="27">
        <v>220480</v>
      </c>
      <c r="G30" s="28">
        <v>231778</v>
      </c>
      <c r="H30" s="29">
        <v>15750</v>
      </c>
      <c r="I30" s="30">
        <f t="shared" si="3"/>
        <v>242395</v>
      </c>
      <c r="J30" s="31">
        <f t="shared" si="4"/>
        <v>64</v>
      </c>
      <c r="K30" s="31">
        <f t="shared" si="0"/>
        <v>29</v>
      </c>
      <c r="L30" s="31">
        <f t="shared" si="5"/>
        <v>33</v>
      </c>
      <c r="M30" s="15">
        <f t="shared" si="6"/>
        <v>0</v>
      </c>
      <c r="N30" s="21">
        <f t="shared" si="7"/>
        <v>15750</v>
      </c>
      <c r="O30" s="32">
        <f>N30*VLOOKUP($K30,[1]สูตร!$A$5:$D$10,4)</f>
        <v>209947.5</v>
      </c>
      <c r="P30" s="23">
        <f>VLOOKUP(J30,[1]สูตร!$A$14:$D$19,4)</f>
        <v>1</v>
      </c>
      <c r="Q30" s="32">
        <f t="shared" si="1"/>
        <v>209947.5</v>
      </c>
      <c r="R30" s="32">
        <f t="shared" si="2"/>
        <v>209947.5</v>
      </c>
      <c r="S30" s="32"/>
      <c r="T30" s="7"/>
      <c r="U30" s="7"/>
      <c r="V30" s="7"/>
      <c r="W30" s="7"/>
      <c r="X30" s="7"/>
      <c r="Y30" s="7"/>
    </row>
    <row r="31" spans="1:25">
      <c r="A31" s="15">
        <v>27</v>
      </c>
      <c r="B31" s="15"/>
      <c r="C31" s="25" t="s">
        <v>206</v>
      </c>
      <c r="D31" s="26" t="s">
        <v>252</v>
      </c>
      <c r="E31" s="26" t="s">
        <v>253</v>
      </c>
      <c r="F31" s="27">
        <v>220487</v>
      </c>
      <c r="G31" s="28">
        <v>231626</v>
      </c>
      <c r="H31" s="29">
        <v>0</v>
      </c>
      <c r="I31" s="30">
        <f t="shared" si="3"/>
        <v>242402</v>
      </c>
      <c r="J31" s="31">
        <f t="shared" si="4"/>
        <v>64</v>
      </c>
      <c r="K31" s="31">
        <f t="shared" si="0"/>
        <v>29</v>
      </c>
      <c r="L31" s="31">
        <f t="shared" si="5"/>
        <v>33</v>
      </c>
      <c r="M31" s="15">
        <f t="shared" si="6"/>
        <v>0</v>
      </c>
      <c r="N31" s="21">
        <f t="shared" si="7"/>
        <v>0</v>
      </c>
      <c r="O31" s="32">
        <f>N31*VLOOKUP($K31,[1]สูตร!$A$5:$D$10,4)</f>
        <v>0</v>
      </c>
      <c r="P31" s="23">
        <f>VLOOKUP(J31,[1]สูตร!$A$14:$D$19,4)</f>
        <v>1</v>
      </c>
      <c r="Q31" s="32">
        <f t="shared" si="1"/>
        <v>0</v>
      </c>
      <c r="R31" s="32">
        <f t="shared" si="2"/>
        <v>0</v>
      </c>
      <c r="S31" s="32"/>
      <c r="T31" s="7"/>
      <c r="U31" s="7"/>
      <c r="V31" s="7"/>
      <c r="W31" s="7"/>
      <c r="X31" s="7"/>
      <c r="Y31" s="7"/>
    </row>
    <row r="32" spans="1:25">
      <c r="A32" s="24">
        <v>28</v>
      </c>
      <c r="B32" s="24"/>
      <c r="C32" s="25" t="s">
        <v>206</v>
      </c>
      <c r="D32" s="26" t="s">
        <v>254</v>
      </c>
      <c r="E32" s="26" t="s">
        <v>255</v>
      </c>
      <c r="F32" s="27">
        <v>220850</v>
      </c>
      <c r="G32" s="28">
        <v>237452</v>
      </c>
      <c r="H32" s="29">
        <v>0</v>
      </c>
      <c r="I32" s="30">
        <f t="shared" si="3"/>
        <v>242765</v>
      </c>
      <c r="J32" s="31">
        <f t="shared" si="4"/>
        <v>63</v>
      </c>
      <c r="K32" s="31">
        <f t="shared" si="0"/>
        <v>14</v>
      </c>
      <c r="L32" s="31">
        <f t="shared" si="5"/>
        <v>17</v>
      </c>
      <c r="M32" s="15">
        <f t="shared" si="6"/>
        <v>0</v>
      </c>
      <c r="N32" s="21">
        <f t="shared" si="7"/>
        <v>0</v>
      </c>
      <c r="O32" s="32">
        <f>N32*VLOOKUP($K32,[1]สูตร!$A$5:$D$10,4)</f>
        <v>0</v>
      </c>
      <c r="P32" s="23">
        <f>VLOOKUP(J32,[1]สูตร!$A$14:$D$19,4)</f>
        <v>1</v>
      </c>
      <c r="Q32" s="32">
        <f t="shared" si="1"/>
        <v>0</v>
      </c>
      <c r="R32" s="32">
        <f t="shared" si="2"/>
        <v>0</v>
      </c>
      <c r="S32" s="32"/>
      <c r="T32" s="7"/>
      <c r="U32" s="7"/>
      <c r="V32" s="7"/>
      <c r="W32" s="7"/>
      <c r="X32" s="7"/>
      <c r="Y32" s="7"/>
    </row>
    <row r="33" spans="1:25">
      <c r="A33" s="15">
        <v>29</v>
      </c>
      <c r="B33" s="15"/>
      <c r="C33" s="25" t="s">
        <v>206</v>
      </c>
      <c r="D33" s="26" t="s">
        <v>256</v>
      </c>
      <c r="E33" s="26" t="s">
        <v>257</v>
      </c>
      <c r="F33" s="27">
        <v>220645</v>
      </c>
      <c r="G33" s="28">
        <v>235219</v>
      </c>
      <c r="H33" s="29">
        <v>0</v>
      </c>
      <c r="I33" s="30">
        <f t="shared" si="3"/>
        <v>242560</v>
      </c>
      <c r="J33" s="31">
        <f t="shared" si="4"/>
        <v>63</v>
      </c>
      <c r="K33" s="31">
        <f t="shared" si="0"/>
        <v>20</v>
      </c>
      <c r="L33" s="31">
        <f t="shared" si="5"/>
        <v>23</v>
      </c>
      <c r="M33" s="15">
        <f t="shared" si="6"/>
        <v>0</v>
      </c>
      <c r="N33" s="21">
        <f t="shared" si="7"/>
        <v>0</v>
      </c>
      <c r="O33" s="32">
        <f>N33*VLOOKUP($K33,[1]สูตร!$A$5:$D$10,4)</f>
        <v>0</v>
      </c>
      <c r="P33" s="23">
        <f>VLOOKUP(J33,[1]สูตร!$A$14:$D$19,4)</f>
        <v>1</v>
      </c>
      <c r="Q33" s="32">
        <f t="shared" si="1"/>
        <v>0</v>
      </c>
      <c r="R33" s="32">
        <f t="shared" si="2"/>
        <v>0</v>
      </c>
      <c r="S33" s="32"/>
      <c r="T33" s="7"/>
      <c r="U33" s="7"/>
      <c r="V33" s="7"/>
      <c r="W33" s="7"/>
      <c r="X33" s="7"/>
      <c r="Y33" s="7"/>
    </row>
    <row r="34" spans="1:25">
      <c r="A34" s="24">
        <v>30</v>
      </c>
      <c r="B34" s="24"/>
      <c r="C34" s="25" t="s">
        <v>7</v>
      </c>
      <c r="D34" s="26" t="s">
        <v>258</v>
      </c>
      <c r="E34" s="26" t="s">
        <v>259</v>
      </c>
      <c r="F34" s="27">
        <v>221065</v>
      </c>
      <c r="G34" s="28">
        <v>235226</v>
      </c>
      <c r="H34" s="29">
        <v>10590</v>
      </c>
      <c r="I34" s="30">
        <f t="shared" si="3"/>
        <v>242980</v>
      </c>
      <c r="J34" s="31">
        <f t="shared" si="4"/>
        <v>62</v>
      </c>
      <c r="K34" s="31">
        <f t="shared" si="0"/>
        <v>21</v>
      </c>
      <c r="L34" s="31">
        <f t="shared" si="5"/>
        <v>23</v>
      </c>
      <c r="M34" s="15">
        <f t="shared" si="6"/>
        <v>0</v>
      </c>
      <c r="N34" s="21">
        <f t="shared" si="7"/>
        <v>10590</v>
      </c>
      <c r="O34" s="32">
        <f>N34*VLOOKUP($K34,[1]สูตร!$A$5:$D$10,4)</f>
        <v>141164.70000000001</v>
      </c>
      <c r="P34" s="23">
        <f>VLOOKUP(J34,[1]สูตร!$A$14:$D$19,4)</f>
        <v>1</v>
      </c>
      <c r="Q34" s="32">
        <f t="shared" si="1"/>
        <v>141164.70000000001</v>
      </c>
      <c r="R34" s="32">
        <f t="shared" si="2"/>
        <v>141164.70000000001</v>
      </c>
      <c r="S34" s="32"/>
      <c r="T34" s="7"/>
      <c r="U34" s="7"/>
      <c r="V34" s="7"/>
      <c r="W34" s="7"/>
      <c r="X34" s="7"/>
      <c r="Y34" s="7"/>
    </row>
    <row r="35" spans="1:25">
      <c r="A35" s="15">
        <v>31</v>
      </c>
      <c r="B35" s="15"/>
      <c r="C35" s="25" t="s">
        <v>206</v>
      </c>
      <c r="D35" s="26" t="s">
        <v>258</v>
      </c>
      <c r="E35" s="26" t="s">
        <v>231</v>
      </c>
      <c r="F35" s="27">
        <v>221161</v>
      </c>
      <c r="G35" s="28">
        <v>234907</v>
      </c>
      <c r="H35" s="29">
        <v>11460</v>
      </c>
      <c r="I35" s="30">
        <f t="shared" si="3"/>
        <v>243076</v>
      </c>
      <c r="J35" s="31">
        <f t="shared" si="4"/>
        <v>62</v>
      </c>
      <c r="K35" s="31">
        <f t="shared" si="0"/>
        <v>22</v>
      </c>
      <c r="L35" s="31">
        <f t="shared" si="5"/>
        <v>24</v>
      </c>
      <c r="M35" s="15">
        <f t="shared" si="6"/>
        <v>0</v>
      </c>
      <c r="N35" s="21">
        <f t="shared" si="7"/>
        <v>11460</v>
      </c>
      <c r="O35" s="32">
        <f>N35*VLOOKUP($K35,[1]สูตร!$A$5:$D$10,4)</f>
        <v>152761.79999999999</v>
      </c>
      <c r="P35" s="23">
        <f>VLOOKUP(J35,[1]สูตร!$A$14:$D$19,4)</f>
        <v>1</v>
      </c>
      <c r="Q35" s="32">
        <f t="shared" si="1"/>
        <v>152761.79999999999</v>
      </c>
      <c r="R35" s="32">
        <f t="shared" si="2"/>
        <v>152761.79999999999</v>
      </c>
      <c r="S35" s="32"/>
      <c r="T35" s="7"/>
      <c r="U35" s="7"/>
      <c r="V35" s="7"/>
      <c r="W35" s="7"/>
      <c r="X35" s="7"/>
      <c r="Y35" s="7"/>
    </row>
    <row r="36" spans="1:25">
      <c r="A36" s="24">
        <v>32</v>
      </c>
      <c r="B36" s="24"/>
      <c r="C36" s="25" t="s">
        <v>12</v>
      </c>
      <c r="D36" s="26" t="s">
        <v>260</v>
      </c>
      <c r="E36" s="26" t="s">
        <v>261</v>
      </c>
      <c r="F36" s="27">
        <v>220990</v>
      </c>
      <c r="G36" s="28">
        <v>232874</v>
      </c>
      <c r="H36" s="29">
        <v>11880</v>
      </c>
      <c r="I36" s="30">
        <f t="shared" si="3"/>
        <v>242905</v>
      </c>
      <c r="J36" s="31">
        <f t="shared" si="4"/>
        <v>62</v>
      </c>
      <c r="K36" s="31">
        <f t="shared" si="0"/>
        <v>27</v>
      </c>
      <c r="L36" s="31">
        <f t="shared" si="5"/>
        <v>30</v>
      </c>
      <c r="M36" s="15">
        <f t="shared" si="6"/>
        <v>0</v>
      </c>
      <c r="N36" s="21">
        <f t="shared" si="7"/>
        <v>11880</v>
      </c>
      <c r="O36" s="32">
        <f>N36*VLOOKUP($K36,[1]สูตร!$A$5:$D$10,4)</f>
        <v>158360.4</v>
      </c>
      <c r="P36" s="23">
        <f>VLOOKUP(J36,[1]สูตร!$A$14:$D$19,4)</f>
        <v>1</v>
      </c>
      <c r="Q36" s="32">
        <f t="shared" si="1"/>
        <v>158360.4</v>
      </c>
      <c r="R36" s="32">
        <f t="shared" si="2"/>
        <v>158360.4</v>
      </c>
      <c r="S36" s="32"/>
      <c r="T36" s="7"/>
      <c r="U36" s="7"/>
      <c r="V36" s="7"/>
      <c r="W36" s="7"/>
      <c r="X36" s="7"/>
      <c r="Y36" s="7"/>
    </row>
    <row r="37" spans="1:25">
      <c r="A37" s="15">
        <v>33</v>
      </c>
      <c r="B37" s="15"/>
      <c r="C37" s="25" t="s">
        <v>7</v>
      </c>
      <c r="D37" s="26" t="s">
        <v>262</v>
      </c>
      <c r="E37" s="26" t="s">
        <v>263</v>
      </c>
      <c r="F37" s="27">
        <v>221456</v>
      </c>
      <c r="G37" s="28">
        <v>231474</v>
      </c>
      <c r="H37" s="29">
        <v>25100</v>
      </c>
      <c r="I37" s="30">
        <f t="shared" si="3"/>
        <v>243371</v>
      </c>
      <c r="J37" s="31">
        <f t="shared" si="4"/>
        <v>61</v>
      </c>
      <c r="K37" s="31">
        <f t="shared" si="0"/>
        <v>32</v>
      </c>
      <c r="L37" s="31">
        <f t="shared" si="5"/>
        <v>34</v>
      </c>
      <c r="M37" s="15">
        <f t="shared" si="6"/>
        <v>0</v>
      </c>
      <c r="N37" s="21">
        <f t="shared" si="7"/>
        <v>25100</v>
      </c>
      <c r="O37" s="32">
        <f>N37*VLOOKUP($K37,[1]สูตร!$A$5:$D$10,4)</f>
        <v>334583</v>
      </c>
      <c r="P37" s="23">
        <f>VLOOKUP(J37,[1]สูตร!$A$14:$D$19,4)</f>
        <v>1</v>
      </c>
      <c r="Q37" s="32">
        <f t="shared" si="1"/>
        <v>334583</v>
      </c>
      <c r="R37" s="32">
        <f t="shared" si="2"/>
        <v>334583</v>
      </c>
      <c r="S37" s="32"/>
      <c r="T37" s="7"/>
      <c r="U37" s="7"/>
      <c r="V37" s="7"/>
      <c r="W37" s="7"/>
      <c r="X37" s="7"/>
      <c r="Y37" s="7"/>
    </row>
    <row r="38" spans="1:25">
      <c r="A38" s="24">
        <v>34</v>
      </c>
      <c r="B38" s="24"/>
      <c r="C38" s="25" t="s">
        <v>7</v>
      </c>
      <c r="D38" s="26" t="s">
        <v>264</v>
      </c>
      <c r="E38" s="26" t="s">
        <v>240</v>
      </c>
      <c r="F38" s="27">
        <v>221781</v>
      </c>
      <c r="G38" s="28">
        <v>231778</v>
      </c>
      <c r="H38" s="29">
        <v>0</v>
      </c>
      <c r="I38" s="30">
        <f t="shared" si="3"/>
        <v>243696</v>
      </c>
      <c r="J38" s="31">
        <f t="shared" si="4"/>
        <v>60</v>
      </c>
      <c r="K38" s="31">
        <f t="shared" si="0"/>
        <v>32</v>
      </c>
      <c r="L38" s="31">
        <f t="shared" si="5"/>
        <v>33</v>
      </c>
      <c r="M38" s="15">
        <f t="shared" si="6"/>
        <v>0</v>
      </c>
      <c r="N38" s="21">
        <f t="shared" si="7"/>
        <v>0</v>
      </c>
      <c r="O38" s="32">
        <f>N38*VLOOKUP($K38,[1]สูตร!$A$5:$D$10,4)</f>
        <v>0</v>
      </c>
      <c r="P38" s="23">
        <f>VLOOKUP(J38,[1]สูตร!$A$14:$D$19,4)</f>
        <v>1</v>
      </c>
      <c r="Q38" s="32">
        <f t="shared" si="1"/>
        <v>0</v>
      </c>
      <c r="R38" s="32">
        <f t="shared" si="2"/>
        <v>0</v>
      </c>
      <c r="S38" s="32"/>
      <c r="T38" s="7"/>
      <c r="U38" s="7"/>
      <c r="V38" s="7"/>
      <c r="W38" s="7"/>
      <c r="X38" s="7"/>
      <c r="Y38" s="7"/>
    </row>
    <row r="39" spans="1:25">
      <c r="A39" s="15">
        <v>35</v>
      </c>
      <c r="B39" s="15"/>
      <c r="C39" s="25" t="s">
        <v>206</v>
      </c>
      <c r="D39" s="26" t="s">
        <v>265</v>
      </c>
      <c r="E39" s="26" t="s">
        <v>266</v>
      </c>
      <c r="F39" s="27">
        <v>221826</v>
      </c>
      <c r="G39" s="28">
        <v>237850</v>
      </c>
      <c r="H39" s="29">
        <v>19500</v>
      </c>
      <c r="I39" s="30">
        <f t="shared" si="3"/>
        <v>243741</v>
      </c>
      <c r="J39" s="31">
        <f t="shared" si="4"/>
        <v>60</v>
      </c>
      <c r="K39" s="31">
        <f t="shared" si="0"/>
        <v>16</v>
      </c>
      <c r="L39" s="31">
        <f t="shared" si="5"/>
        <v>16</v>
      </c>
      <c r="M39" s="15">
        <f t="shared" si="6"/>
        <v>0</v>
      </c>
      <c r="N39" s="21">
        <f t="shared" si="7"/>
        <v>19500</v>
      </c>
      <c r="O39" s="32">
        <f>N39*VLOOKUP($K39,[1]สูตร!$A$5:$D$10,4)</f>
        <v>195000</v>
      </c>
      <c r="P39" s="23">
        <f>VLOOKUP(J39,[1]สูตร!$A$14:$D$19,4)</f>
        <v>1</v>
      </c>
      <c r="Q39" s="32">
        <f t="shared" si="1"/>
        <v>195000</v>
      </c>
      <c r="R39" s="32">
        <f t="shared" si="2"/>
        <v>195000</v>
      </c>
      <c r="S39" s="32"/>
      <c r="T39" s="7"/>
      <c r="U39" s="7"/>
      <c r="V39" s="7"/>
      <c r="W39" s="7"/>
      <c r="X39" s="7"/>
      <c r="Y39" s="7"/>
    </row>
    <row r="40" spans="1:25">
      <c r="A40" s="24">
        <v>36</v>
      </c>
      <c r="B40" s="24"/>
      <c r="C40" s="25" t="s">
        <v>206</v>
      </c>
      <c r="D40" s="26" t="s">
        <v>267</v>
      </c>
      <c r="E40" s="26" t="s">
        <v>268</v>
      </c>
      <c r="F40" s="27">
        <v>221862</v>
      </c>
      <c r="G40" s="28">
        <v>241010</v>
      </c>
      <c r="H40" s="29">
        <v>10620</v>
      </c>
      <c r="I40" s="30">
        <f t="shared" si="3"/>
        <v>243777</v>
      </c>
      <c r="J40" s="31">
        <f t="shared" si="4"/>
        <v>60</v>
      </c>
      <c r="K40" s="31">
        <f t="shared" si="0"/>
        <v>7</v>
      </c>
      <c r="L40" s="31">
        <f t="shared" si="5"/>
        <v>8</v>
      </c>
      <c r="M40" s="15">
        <f t="shared" si="6"/>
        <v>0</v>
      </c>
      <c r="N40" s="21">
        <f t="shared" si="7"/>
        <v>10620</v>
      </c>
      <c r="O40" s="32">
        <f>N40*VLOOKUP($K40,[1]สูตร!$A$5:$D$10,4)</f>
        <v>84960</v>
      </c>
      <c r="P40" s="23">
        <f>VLOOKUP(J40,[1]สูตร!$A$14:$D$19,4)</f>
        <v>1</v>
      </c>
      <c r="Q40" s="32">
        <f t="shared" si="1"/>
        <v>84960</v>
      </c>
      <c r="R40" s="32">
        <f t="shared" si="2"/>
        <v>84960</v>
      </c>
      <c r="S40" s="32"/>
      <c r="T40" s="7"/>
      <c r="U40" s="7"/>
      <c r="V40" s="7"/>
      <c r="W40" s="7"/>
      <c r="X40" s="7"/>
      <c r="Y40" s="7"/>
    </row>
    <row r="41" spans="1:25">
      <c r="A41" s="15">
        <v>37</v>
      </c>
      <c r="B41" s="15"/>
      <c r="C41" s="25" t="s">
        <v>7</v>
      </c>
      <c r="D41" s="26" t="s">
        <v>269</v>
      </c>
      <c r="E41" s="26" t="s">
        <v>270</v>
      </c>
      <c r="F41" s="27">
        <v>221948</v>
      </c>
      <c r="G41" s="28">
        <v>236063</v>
      </c>
      <c r="H41" s="29">
        <v>10950</v>
      </c>
      <c r="I41" s="30">
        <f t="shared" si="3"/>
        <v>243863</v>
      </c>
      <c r="J41" s="31">
        <f t="shared" si="4"/>
        <v>60</v>
      </c>
      <c r="K41" s="31">
        <f t="shared" si="0"/>
        <v>21</v>
      </c>
      <c r="L41" s="31">
        <f t="shared" si="5"/>
        <v>21</v>
      </c>
      <c r="M41" s="15">
        <f t="shared" si="6"/>
        <v>0</v>
      </c>
      <c r="N41" s="21">
        <f t="shared" si="7"/>
        <v>10950</v>
      </c>
      <c r="O41" s="32">
        <f>N41*VLOOKUP($K41,[1]สูตร!$A$5:$D$10,4)</f>
        <v>145963.5</v>
      </c>
      <c r="P41" s="23">
        <f>VLOOKUP(J41,[1]สูตร!$A$14:$D$19,4)</f>
        <v>1</v>
      </c>
      <c r="Q41" s="32">
        <f t="shared" si="1"/>
        <v>145963.5</v>
      </c>
      <c r="R41" s="32">
        <f t="shared" si="2"/>
        <v>145963.5</v>
      </c>
      <c r="S41" s="32"/>
      <c r="T41" s="7"/>
      <c r="U41" s="7"/>
      <c r="V41" s="7"/>
      <c r="W41" s="7"/>
      <c r="X41" s="7"/>
      <c r="Y41" s="7"/>
    </row>
    <row r="42" spans="1:25">
      <c r="A42" s="24">
        <v>38</v>
      </c>
      <c r="B42" s="24"/>
      <c r="C42" s="25" t="s">
        <v>206</v>
      </c>
      <c r="D42" s="26" t="s">
        <v>271</v>
      </c>
      <c r="E42" s="26" t="s">
        <v>272</v>
      </c>
      <c r="F42" s="27">
        <v>221744</v>
      </c>
      <c r="G42" s="28">
        <v>239602</v>
      </c>
      <c r="H42" s="29">
        <v>10830</v>
      </c>
      <c r="I42" s="30">
        <f t="shared" si="3"/>
        <v>243659</v>
      </c>
      <c r="J42" s="31">
        <f t="shared" si="4"/>
        <v>60</v>
      </c>
      <c r="K42" s="31">
        <f t="shared" si="0"/>
        <v>11</v>
      </c>
      <c r="L42" s="31">
        <f t="shared" si="5"/>
        <v>11</v>
      </c>
      <c r="M42" s="15">
        <f t="shared" si="6"/>
        <v>0</v>
      </c>
      <c r="N42" s="21">
        <f t="shared" si="7"/>
        <v>10830</v>
      </c>
      <c r="O42" s="32">
        <f>N42*VLOOKUP($K42,[1]สูตร!$A$5:$D$10,4)</f>
        <v>108300</v>
      </c>
      <c r="P42" s="23">
        <f>VLOOKUP(J42,[1]สูตร!$A$14:$D$19,4)</f>
        <v>1</v>
      </c>
      <c r="Q42" s="32">
        <f t="shared" si="1"/>
        <v>108300</v>
      </c>
      <c r="R42" s="32">
        <f t="shared" si="2"/>
        <v>108300</v>
      </c>
      <c r="S42" s="32"/>
      <c r="T42" s="7"/>
      <c r="U42" s="7"/>
      <c r="V42" s="7"/>
      <c r="W42" s="7"/>
      <c r="X42" s="7"/>
      <c r="Y42" s="7"/>
    </row>
    <row r="43" spans="1:25">
      <c r="A43" s="15">
        <v>39</v>
      </c>
      <c r="B43" s="15"/>
      <c r="C43" s="25" t="s">
        <v>7</v>
      </c>
      <c r="D43" s="26" t="s">
        <v>273</v>
      </c>
      <c r="E43" s="26" t="s">
        <v>274</v>
      </c>
      <c r="F43" s="27">
        <v>222042</v>
      </c>
      <c r="G43" s="28">
        <v>235200</v>
      </c>
      <c r="H43" s="29">
        <v>10590</v>
      </c>
      <c r="I43" s="30">
        <f t="shared" si="3"/>
        <v>243957</v>
      </c>
      <c r="J43" s="31">
        <f t="shared" si="4"/>
        <v>60</v>
      </c>
      <c r="K43" s="31">
        <f t="shared" si="0"/>
        <v>23</v>
      </c>
      <c r="L43" s="31">
        <f t="shared" si="5"/>
        <v>24</v>
      </c>
      <c r="M43" s="15">
        <f t="shared" si="6"/>
        <v>0</v>
      </c>
      <c r="N43" s="21">
        <f t="shared" si="7"/>
        <v>10590</v>
      </c>
      <c r="O43" s="32">
        <f>N43*VLOOKUP($K43,[1]สูตร!$A$5:$D$10,4)</f>
        <v>141164.70000000001</v>
      </c>
      <c r="P43" s="23">
        <f>VLOOKUP(J43,[1]สูตร!$A$14:$D$19,4)</f>
        <v>1</v>
      </c>
      <c r="Q43" s="32">
        <f t="shared" si="1"/>
        <v>141164.70000000001</v>
      </c>
      <c r="R43" s="32">
        <f t="shared" si="2"/>
        <v>141164.70000000001</v>
      </c>
      <c r="S43" s="32"/>
      <c r="T43" s="7"/>
      <c r="U43" s="7"/>
      <c r="V43" s="7"/>
      <c r="W43" s="7"/>
      <c r="X43" s="7"/>
      <c r="Y43" s="7"/>
    </row>
    <row r="44" spans="1:25">
      <c r="A44" s="24">
        <v>40</v>
      </c>
      <c r="B44" s="24"/>
      <c r="C44" s="25" t="s">
        <v>206</v>
      </c>
      <c r="D44" s="26" t="s">
        <v>275</v>
      </c>
      <c r="E44" s="26" t="s">
        <v>276</v>
      </c>
      <c r="F44" s="27">
        <v>222056</v>
      </c>
      <c r="G44" s="28">
        <v>234855</v>
      </c>
      <c r="H44" s="29">
        <v>11790</v>
      </c>
      <c r="I44" s="30">
        <f t="shared" si="3"/>
        <v>243971</v>
      </c>
      <c r="J44" s="31">
        <f t="shared" si="4"/>
        <v>60</v>
      </c>
      <c r="K44" s="31">
        <f t="shared" si="0"/>
        <v>24</v>
      </c>
      <c r="L44" s="31">
        <f t="shared" si="5"/>
        <v>24</v>
      </c>
      <c r="M44" s="15">
        <f t="shared" si="6"/>
        <v>0</v>
      </c>
      <c r="N44" s="21">
        <f t="shared" si="7"/>
        <v>11790</v>
      </c>
      <c r="O44" s="32">
        <f>N44*VLOOKUP($K44,[1]สูตร!$A$5:$D$10,4)</f>
        <v>157160.70000000001</v>
      </c>
      <c r="P44" s="23">
        <f>VLOOKUP(J44,[1]สูตร!$A$14:$D$19,4)</f>
        <v>1</v>
      </c>
      <c r="Q44" s="32">
        <f t="shared" si="1"/>
        <v>157160.70000000001</v>
      </c>
      <c r="R44" s="32">
        <f t="shared" si="2"/>
        <v>157160.70000000001</v>
      </c>
      <c r="S44" s="32"/>
      <c r="T44" s="7"/>
      <c r="U44" s="7"/>
      <c r="V44" s="7"/>
      <c r="W44" s="7"/>
      <c r="X44" s="7"/>
      <c r="Y44" s="7"/>
    </row>
    <row r="45" spans="1:25">
      <c r="A45" s="15">
        <v>41</v>
      </c>
      <c r="B45" s="15"/>
      <c r="C45" s="25" t="s">
        <v>206</v>
      </c>
      <c r="D45" s="26" t="s">
        <v>277</v>
      </c>
      <c r="E45" s="26" t="s">
        <v>278</v>
      </c>
      <c r="F45" s="27">
        <v>222195</v>
      </c>
      <c r="G45" s="28">
        <v>235808</v>
      </c>
      <c r="H45" s="29">
        <v>11130</v>
      </c>
      <c r="I45" s="30">
        <f t="shared" si="3"/>
        <v>244110</v>
      </c>
      <c r="J45" s="31">
        <f t="shared" si="4"/>
        <v>59</v>
      </c>
      <c r="K45" s="31">
        <f t="shared" si="0"/>
        <v>22</v>
      </c>
      <c r="L45" s="31">
        <f t="shared" si="5"/>
        <v>22</v>
      </c>
      <c r="M45" s="15">
        <f t="shared" si="6"/>
        <v>1</v>
      </c>
      <c r="N45" s="21">
        <f t="shared" si="7"/>
        <v>11464</v>
      </c>
      <c r="O45" s="32">
        <f>N45*VLOOKUP($K45,[1]สูตร!$A$5:$D$10,4)</f>
        <v>152815.12</v>
      </c>
      <c r="P45" s="23">
        <f>VLOOKUP(J45,[1]สูตร!$A$14:$D$19,4)</f>
        <v>1</v>
      </c>
      <c r="Q45" s="32">
        <f t="shared" si="1"/>
        <v>152815.12</v>
      </c>
      <c r="R45" s="32">
        <f t="shared" si="2"/>
        <v>152815.12</v>
      </c>
      <c r="S45" s="32"/>
      <c r="T45" s="7"/>
      <c r="U45" s="7"/>
      <c r="V45" s="7"/>
      <c r="W45" s="7"/>
      <c r="X45" s="7"/>
      <c r="Y45" s="7"/>
    </row>
    <row r="46" spans="1:25">
      <c r="A46" s="24">
        <v>42</v>
      </c>
      <c r="B46" s="24"/>
      <c r="C46" s="25" t="s">
        <v>206</v>
      </c>
      <c r="D46" s="26" t="s">
        <v>118</v>
      </c>
      <c r="E46" s="26" t="s">
        <v>279</v>
      </c>
      <c r="F46" s="27">
        <v>222224</v>
      </c>
      <c r="G46" s="28">
        <v>237202</v>
      </c>
      <c r="H46" s="29">
        <v>10650</v>
      </c>
      <c r="I46" s="30">
        <f t="shared" si="3"/>
        <v>244139</v>
      </c>
      <c r="J46" s="31">
        <f t="shared" si="4"/>
        <v>59</v>
      </c>
      <c r="K46" s="31">
        <f t="shared" si="0"/>
        <v>18</v>
      </c>
      <c r="L46" s="31">
        <f t="shared" si="5"/>
        <v>18</v>
      </c>
      <c r="M46" s="15">
        <f t="shared" si="6"/>
        <v>1</v>
      </c>
      <c r="N46" s="21">
        <f t="shared" si="7"/>
        <v>10970</v>
      </c>
      <c r="O46" s="32">
        <f>N46*VLOOKUP($K46,[1]สูตร!$A$5:$D$10,4)</f>
        <v>109700</v>
      </c>
      <c r="P46" s="23">
        <f>VLOOKUP(J46,[1]สูตร!$A$14:$D$19,4)</f>
        <v>1</v>
      </c>
      <c r="Q46" s="32">
        <f t="shared" si="1"/>
        <v>109700</v>
      </c>
      <c r="R46" s="32">
        <f t="shared" si="2"/>
        <v>109700</v>
      </c>
      <c r="S46" s="32"/>
      <c r="T46" s="7"/>
      <c r="U46" s="7"/>
      <c r="V46" s="7"/>
      <c r="W46" s="7"/>
      <c r="X46" s="7"/>
      <c r="Y46" s="7"/>
    </row>
    <row r="47" spans="1:25">
      <c r="A47" s="15">
        <v>43</v>
      </c>
      <c r="B47" s="15"/>
      <c r="C47" s="25" t="s">
        <v>206</v>
      </c>
      <c r="D47" s="26" t="s">
        <v>280</v>
      </c>
      <c r="E47" s="26" t="s">
        <v>281</v>
      </c>
      <c r="F47" s="27">
        <v>222353</v>
      </c>
      <c r="G47" s="28">
        <v>241187</v>
      </c>
      <c r="H47" s="29">
        <v>10590</v>
      </c>
      <c r="I47" s="30">
        <f t="shared" si="3"/>
        <v>244268</v>
      </c>
      <c r="J47" s="31">
        <f t="shared" si="4"/>
        <v>59</v>
      </c>
      <c r="K47" s="31">
        <f t="shared" si="0"/>
        <v>8</v>
      </c>
      <c r="L47" s="31">
        <f t="shared" si="5"/>
        <v>7</v>
      </c>
      <c r="M47" s="15">
        <f t="shared" si="6"/>
        <v>1</v>
      </c>
      <c r="N47" s="21">
        <f t="shared" si="7"/>
        <v>10908</v>
      </c>
      <c r="O47" s="32">
        <f>N47*VLOOKUP($K47,[1]สูตร!$A$5:$D$10,4)</f>
        <v>87264</v>
      </c>
      <c r="P47" s="23">
        <f>VLOOKUP(J47,[1]สูตร!$A$14:$D$19,4)</f>
        <v>1</v>
      </c>
      <c r="Q47" s="32">
        <f t="shared" si="1"/>
        <v>87264</v>
      </c>
      <c r="R47" s="32">
        <f t="shared" si="2"/>
        <v>87264</v>
      </c>
      <c r="S47" s="32"/>
      <c r="T47" s="7"/>
      <c r="U47" s="7"/>
      <c r="V47" s="7"/>
      <c r="W47" s="7"/>
      <c r="X47" s="7"/>
      <c r="Y47" s="7"/>
    </row>
    <row r="48" spans="1:25">
      <c r="A48" s="24">
        <v>44</v>
      </c>
      <c r="B48" s="24"/>
      <c r="C48" s="25" t="s">
        <v>206</v>
      </c>
      <c r="D48" s="26" t="s">
        <v>282</v>
      </c>
      <c r="E48" s="26" t="s">
        <v>283</v>
      </c>
      <c r="F48" s="27">
        <v>222551</v>
      </c>
      <c r="G48" s="28">
        <v>238205</v>
      </c>
      <c r="H48" s="29">
        <v>10590</v>
      </c>
      <c r="I48" s="30">
        <f t="shared" si="3"/>
        <v>244466</v>
      </c>
      <c r="J48" s="31">
        <f t="shared" si="4"/>
        <v>58</v>
      </c>
      <c r="K48" s="31">
        <f t="shared" si="0"/>
        <v>17</v>
      </c>
      <c r="L48" s="31">
        <f t="shared" si="5"/>
        <v>15</v>
      </c>
      <c r="M48" s="15">
        <f t="shared" si="6"/>
        <v>2</v>
      </c>
      <c r="N48" s="21">
        <f t="shared" si="7"/>
        <v>11235</v>
      </c>
      <c r="O48" s="32">
        <f>N48*VLOOKUP($K48,[1]สูตร!$A$5:$D$10,4)</f>
        <v>112350</v>
      </c>
      <c r="P48" s="23">
        <f>VLOOKUP(J48,[1]สูตร!$A$14:$D$19,4)</f>
        <v>1</v>
      </c>
      <c r="Q48" s="32">
        <f t="shared" si="1"/>
        <v>112350</v>
      </c>
      <c r="R48" s="32">
        <f t="shared" si="2"/>
        <v>112350</v>
      </c>
      <c r="S48" s="32"/>
      <c r="T48" s="7"/>
      <c r="U48" s="7"/>
      <c r="V48" s="7"/>
      <c r="W48" s="7"/>
      <c r="X48" s="7"/>
      <c r="Y48" s="7"/>
    </row>
    <row r="49" spans="1:25">
      <c r="A49" s="15">
        <v>45</v>
      </c>
      <c r="B49" s="15"/>
      <c r="C49" s="25" t="s">
        <v>12</v>
      </c>
      <c r="D49" s="26" t="s">
        <v>27</v>
      </c>
      <c r="E49" s="26" t="s">
        <v>284</v>
      </c>
      <c r="F49" s="27">
        <v>222872</v>
      </c>
      <c r="G49" s="28">
        <v>232517</v>
      </c>
      <c r="H49" s="29">
        <v>16200</v>
      </c>
      <c r="I49" s="30">
        <f t="shared" si="3"/>
        <v>244787</v>
      </c>
      <c r="J49" s="31">
        <f t="shared" si="4"/>
        <v>57</v>
      </c>
      <c r="K49" s="31">
        <f t="shared" si="0"/>
        <v>33</v>
      </c>
      <c r="L49" s="31">
        <f t="shared" si="5"/>
        <v>31</v>
      </c>
      <c r="M49" s="15">
        <f t="shared" si="6"/>
        <v>3</v>
      </c>
      <c r="N49" s="21">
        <f t="shared" si="7"/>
        <v>17702</v>
      </c>
      <c r="O49" s="32">
        <f>N49*VLOOKUP($K49,[1]สูตร!$A$5:$D$10,4)</f>
        <v>235967.66</v>
      </c>
      <c r="P49" s="23">
        <f>VLOOKUP(J49,[1]สูตร!$A$14:$D$19,4)</f>
        <v>1</v>
      </c>
      <c r="Q49" s="32">
        <f t="shared" si="1"/>
        <v>235967.66</v>
      </c>
      <c r="R49" s="32">
        <f t="shared" si="2"/>
        <v>235967.66</v>
      </c>
      <c r="S49" s="32"/>
      <c r="T49" s="7"/>
      <c r="U49" s="7"/>
      <c r="V49" s="7"/>
      <c r="W49" s="7"/>
      <c r="X49" s="7"/>
      <c r="Y49" s="7"/>
    </row>
    <row r="50" spans="1:25">
      <c r="A50" s="24">
        <v>46</v>
      </c>
      <c r="B50" s="24"/>
      <c r="C50" s="25" t="s">
        <v>12</v>
      </c>
      <c r="D50" s="26" t="s">
        <v>84</v>
      </c>
      <c r="E50" s="26" t="s">
        <v>285</v>
      </c>
      <c r="F50" s="27">
        <v>223289</v>
      </c>
      <c r="G50" s="28">
        <v>236602</v>
      </c>
      <c r="H50" s="29">
        <v>14700</v>
      </c>
      <c r="I50" s="30">
        <f t="shared" si="3"/>
        <v>245204</v>
      </c>
      <c r="J50" s="31">
        <f t="shared" si="4"/>
        <v>56</v>
      </c>
      <c r="K50" s="31">
        <f t="shared" si="0"/>
        <v>23</v>
      </c>
      <c r="L50" s="31">
        <f t="shared" si="5"/>
        <v>20</v>
      </c>
      <c r="M50" s="15">
        <f t="shared" si="6"/>
        <v>4</v>
      </c>
      <c r="N50" s="21">
        <f t="shared" si="7"/>
        <v>16545</v>
      </c>
      <c r="O50" s="32">
        <f>N50*VLOOKUP($K50,[1]สูตร!$A$5:$D$10,4)</f>
        <v>220544.85</v>
      </c>
      <c r="P50" s="23">
        <f>VLOOKUP(J50,[1]สูตร!$A$14:$D$19,4)</f>
        <v>1</v>
      </c>
      <c r="Q50" s="32">
        <f t="shared" si="1"/>
        <v>220544.85</v>
      </c>
      <c r="R50" s="32">
        <f t="shared" si="2"/>
        <v>220544.85</v>
      </c>
      <c r="S50" s="32"/>
      <c r="T50" s="7"/>
      <c r="U50" s="7"/>
      <c r="V50" s="7"/>
      <c r="W50" s="7"/>
      <c r="X50" s="7"/>
      <c r="Y50" s="7"/>
    </row>
    <row r="51" spans="1:25">
      <c r="A51" s="15">
        <v>47</v>
      </c>
      <c r="B51" s="15"/>
      <c r="C51" s="25" t="s">
        <v>12</v>
      </c>
      <c r="D51" s="26" t="s">
        <v>241</v>
      </c>
      <c r="E51" s="26" t="s">
        <v>286</v>
      </c>
      <c r="F51" s="27">
        <v>223431</v>
      </c>
      <c r="G51" s="28">
        <v>235037</v>
      </c>
      <c r="H51" s="29">
        <v>12480</v>
      </c>
      <c r="I51" s="30">
        <f t="shared" si="3"/>
        <v>245346</v>
      </c>
      <c r="J51" s="31">
        <f t="shared" si="4"/>
        <v>56</v>
      </c>
      <c r="K51" s="31">
        <f t="shared" si="0"/>
        <v>28</v>
      </c>
      <c r="L51" s="31">
        <f t="shared" si="5"/>
        <v>24</v>
      </c>
      <c r="M51" s="15">
        <f t="shared" si="6"/>
        <v>4</v>
      </c>
      <c r="N51" s="21">
        <f t="shared" si="7"/>
        <v>14046</v>
      </c>
      <c r="O51" s="32">
        <f>N51*VLOOKUP($K51,[1]สูตร!$A$5:$D$10,4)</f>
        <v>187233.18</v>
      </c>
      <c r="P51" s="23">
        <f>VLOOKUP(J51,[1]สูตร!$A$14:$D$19,4)</f>
        <v>1</v>
      </c>
      <c r="Q51" s="32">
        <f t="shared" si="1"/>
        <v>187233.18</v>
      </c>
      <c r="R51" s="32">
        <f t="shared" si="2"/>
        <v>187233.18</v>
      </c>
      <c r="S51" s="32"/>
      <c r="T51" s="7"/>
      <c r="U51" s="7"/>
      <c r="V51" s="7"/>
      <c r="W51" s="7"/>
      <c r="X51" s="7"/>
      <c r="Y51" s="7"/>
    </row>
    <row r="52" spans="1:25">
      <c r="A52" s="24">
        <v>48</v>
      </c>
      <c r="B52" s="24"/>
      <c r="C52" s="25" t="s">
        <v>206</v>
      </c>
      <c r="D52" s="26" t="s">
        <v>287</v>
      </c>
      <c r="E52" s="26" t="s">
        <v>288</v>
      </c>
      <c r="F52" s="27">
        <v>223217</v>
      </c>
      <c r="G52" s="28">
        <v>241667</v>
      </c>
      <c r="H52" s="29">
        <v>10590</v>
      </c>
      <c r="I52" s="30">
        <f t="shared" si="3"/>
        <v>245132</v>
      </c>
      <c r="J52" s="31">
        <f t="shared" si="4"/>
        <v>56</v>
      </c>
      <c r="K52" s="31">
        <f t="shared" si="0"/>
        <v>9</v>
      </c>
      <c r="L52" s="31">
        <f t="shared" si="5"/>
        <v>6</v>
      </c>
      <c r="M52" s="15">
        <f t="shared" si="6"/>
        <v>4</v>
      </c>
      <c r="N52" s="21">
        <f t="shared" si="7"/>
        <v>11919</v>
      </c>
      <c r="O52" s="32">
        <f>N52*VLOOKUP($K52,[1]สูตร!$A$5:$D$10,4)</f>
        <v>95352</v>
      </c>
      <c r="P52" s="23">
        <f>VLOOKUP(J52,[1]สูตร!$A$14:$D$19,4)</f>
        <v>1</v>
      </c>
      <c r="Q52" s="32">
        <f t="shared" si="1"/>
        <v>95352</v>
      </c>
      <c r="R52" s="32">
        <f t="shared" si="2"/>
        <v>95352</v>
      </c>
      <c r="S52" s="32"/>
      <c r="T52" s="7"/>
      <c r="U52" s="7"/>
      <c r="V52" s="7"/>
      <c r="W52" s="7"/>
      <c r="X52" s="7"/>
      <c r="Y52" s="7"/>
    </row>
    <row r="53" spans="1:25">
      <c r="A53" s="15">
        <v>49</v>
      </c>
      <c r="B53" s="15"/>
      <c r="C53" s="25" t="s">
        <v>7</v>
      </c>
      <c r="D53" s="26" t="s">
        <v>209</v>
      </c>
      <c r="E53" s="26" t="s">
        <v>289</v>
      </c>
      <c r="F53" s="27">
        <v>223530</v>
      </c>
      <c r="G53" s="28">
        <v>238196</v>
      </c>
      <c r="H53" s="29">
        <v>10770</v>
      </c>
      <c r="I53" s="30">
        <f t="shared" si="3"/>
        <v>245445</v>
      </c>
      <c r="J53" s="31">
        <f t="shared" si="4"/>
        <v>55</v>
      </c>
      <c r="K53" s="31">
        <f t="shared" si="0"/>
        <v>19</v>
      </c>
      <c r="L53" s="31">
        <f t="shared" si="5"/>
        <v>15</v>
      </c>
      <c r="M53" s="15">
        <f t="shared" si="6"/>
        <v>5</v>
      </c>
      <c r="N53" s="21">
        <f t="shared" si="7"/>
        <v>12485</v>
      </c>
      <c r="O53" s="32">
        <f>N53*VLOOKUP($K53,[1]สูตร!$A$5:$D$10,4)</f>
        <v>124850</v>
      </c>
      <c r="P53" s="23">
        <f>VLOOKUP(J53,[1]สูตร!$A$14:$D$19,4)</f>
        <v>1</v>
      </c>
      <c r="Q53" s="32">
        <f t="shared" si="1"/>
        <v>124850</v>
      </c>
      <c r="R53" s="32">
        <f t="shared" si="2"/>
        <v>124850</v>
      </c>
      <c r="S53" s="32"/>
      <c r="T53" s="7"/>
      <c r="U53" s="7"/>
      <c r="V53" s="7"/>
      <c r="W53" s="7"/>
      <c r="X53" s="7"/>
      <c r="Y53" s="7"/>
    </row>
    <row r="54" spans="1:25">
      <c r="A54" s="24">
        <v>50</v>
      </c>
      <c r="B54" s="24"/>
      <c r="C54" s="25" t="s">
        <v>206</v>
      </c>
      <c r="D54" s="26" t="s">
        <v>290</v>
      </c>
      <c r="E54" s="26" t="s">
        <v>291</v>
      </c>
      <c r="F54" s="27">
        <v>223563</v>
      </c>
      <c r="G54" s="28">
        <v>240267</v>
      </c>
      <c r="H54" s="29">
        <v>10590</v>
      </c>
      <c r="I54" s="30">
        <f t="shared" si="3"/>
        <v>245478</v>
      </c>
      <c r="J54" s="31">
        <f t="shared" si="4"/>
        <v>55</v>
      </c>
      <c r="K54" s="31">
        <f t="shared" si="0"/>
        <v>14</v>
      </c>
      <c r="L54" s="31">
        <f t="shared" si="5"/>
        <v>10</v>
      </c>
      <c r="M54" s="15">
        <f t="shared" si="6"/>
        <v>5</v>
      </c>
      <c r="N54" s="21">
        <f t="shared" si="7"/>
        <v>12277</v>
      </c>
      <c r="O54" s="32">
        <f>N54*VLOOKUP($K54,[1]สูตร!$A$5:$D$10,4)</f>
        <v>122770</v>
      </c>
      <c r="P54" s="23">
        <f>VLOOKUP(J54,[1]สูตร!$A$14:$D$19,4)</f>
        <v>1</v>
      </c>
      <c r="Q54" s="32">
        <f t="shared" si="1"/>
        <v>122770</v>
      </c>
      <c r="R54" s="32">
        <f t="shared" si="2"/>
        <v>122770</v>
      </c>
      <c r="S54" s="32"/>
      <c r="T54" s="7"/>
      <c r="U54" s="7"/>
      <c r="V54" s="7"/>
      <c r="W54" s="7"/>
      <c r="X54" s="7"/>
      <c r="Y54" s="7"/>
    </row>
    <row r="55" spans="1:25">
      <c r="A55" s="15">
        <v>51</v>
      </c>
      <c r="B55" s="15"/>
      <c r="C55" s="25" t="s">
        <v>206</v>
      </c>
      <c r="D55" s="26" t="s">
        <v>292</v>
      </c>
      <c r="E55" s="26" t="s">
        <v>293</v>
      </c>
      <c r="F55" s="27">
        <v>223861</v>
      </c>
      <c r="G55" s="28">
        <v>232959</v>
      </c>
      <c r="H55" s="29">
        <v>10590</v>
      </c>
      <c r="I55" s="30">
        <f t="shared" si="3"/>
        <v>245776</v>
      </c>
      <c r="J55" s="31">
        <f t="shared" si="4"/>
        <v>55</v>
      </c>
      <c r="K55" s="31">
        <f t="shared" si="0"/>
        <v>35</v>
      </c>
      <c r="L55" s="31">
        <f t="shared" si="5"/>
        <v>30</v>
      </c>
      <c r="M55" s="15">
        <f t="shared" si="6"/>
        <v>5</v>
      </c>
      <c r="N55" s="21">
        <f t="shared" si="7"/>
        <v>12277</v>
      </c>
      <c r="O55" s="32">
        <f>N55*VLOOKUP($K55,[1]สูตร!$A$5:$D$10,4)</f>
        <v>163652.41</v>
      </c>
      <c r="P55" s="23">
        <f>VLOOKUP(J55,[1]สูตร!$A$14:$D$19,4)</f>
        <v>1</v>
      </c>
      <c r="Q55" s="32">
        <f t="shared" si="1"/>
        <v>163652.41</v>
      </c>
      <c r="R55" s="32">
        <f t="shared" si="2"/>
        <v>163652.41</v>
      </c>
      <c r="S55" s="32"/>
      <c r="T55" s="7"/>
      <c r="U55" s="7"/>
      <c r="V55" s="7"/>
      <c r="W55" s="7"/>
      <c r="X55" s="7"/>
      <c r="Y55" s="7"/>
    </row>
    <row r="56" spans="1:25">
      <c r="A56" s="24">
        <v>52</v>
      </c>
      <c r="B56" s="24"/>
      <c r="C56" s="25" t="s">
        <v>12</v>
      </c>
      <c r="D56" s="26" t="s">
        <v>294</v>
      </c>
      <c r="E56" s="26" t="s">
        <v>295</v>
      </c>
      <c r="F56" s="27">
        <v>224087</v>
      </c>
      <c r="G56" s="28">
        <v>232510</v>
      </c>
      <c r="H56" s="29">
        <v>11520</v>
      </c>
      <c r="I56" s="30">
        <f t="shared" si="3"/>
        <v>246002</v>
      </c>
      <c r="J56" s="31">
        <f t="shared" si="4"/>
        <v>54</v>
      </c>
      <c r="K56" s="31">
        <f t="shared" si="0"/>
        <v>36</v>
      </c>
      <c r="L56" s="31">
        <f t="shared" si="5"/>
        <v>31</v>
      </c>
      <c r="M56" s="15">
        <f t="shared" si="6"/>
        <v>6</v>
      </c>
      <c r="N56" s="21">
        <f t="shared" si="7"/>
        <v>13755</v>
      </c>
      <c r="O56" s="32">
        <f>N56*VLOOKUP($K56,[1]สูตร!$A$5:$D$10,4)</f>
        <v>183354.15</v>
      </c>
      <c r="P56" s="23">
        <f>VLOOKUP(J56,[1]สูตร!$A$14:$D$19,4)</f>
        <v>0.9</v>
      </c>
      <c r="Q56" s="32">
        <f t="shared" si="1"/>
        <v>165018.73499999999</v>
      </c>
      <c r="R56" s="32">
        <f t="shared" si="2"/>
        <v>165018.73499999999</v>
      </c>
      <c r="S56" s="32"/>
      <c r="T56" s="7"/>
      <c r="U56" s="7"/>
      <c r="V56" s="7"/>
      <c r="W56" s="7"/>
      <c r="X56" s="7"/>
      <c r="Y56" s="7"/>
    </row>
    <row r="57" spans="1:25">
      <c r="A57" s="15">
        <v>53</v>
      </c>
      <c r="B57" s="15"/>
      <c r="C57" s="25" t="s">
        <v>7</v>
      </c>
      <c r="D57" s="26" t="s">
        <v>296</v>
      </c>
      <c r="E57" s="26" t="s">
        <v>284</v>
      </c>
      <c r="F57" s="27">
        <v>224150</v>
      </c>
      <c r="G57" s="28">
        <v>231505</v>
      </c>
      <c r="H57" s="29">
        <v>40000</v>
      </c>
      <c r="I57" s="30">
        <f t="shared" si="3"/>
        <v>246065</v>
      </c>
      <c r="J57" s="31">
        <f t="shared" si="4"/>
        <v>54</v>
      </c>
      <c r="K57" s="31">
        <f t="shared" si="0"/>
        <v>39</v>
      </c>
      <c r="L57" s="31">
        <f t="shared" si="5"/>
        <v>34</v>
      </c>
      <c r="M57" s="15">
        <f t="shared" si="6"/>
        <v>6</v>
      </c>
      <c r="N57" s="21">
        <f t="shared" si="7"/>
        <v>47762</v>
      </c>
      <c r="O57" s="32">
        <f>N57*VLOOKUP($K57,[1]สูตร!$A$5:$D$10,4)</f>
        <v>636667.46</v>
      </c>
      <c r="P57" s="23">
        <f>VLOOKUP(J57,[1]สูตร!$A$14:$D$19,4)</f>
        <v>0.9</v>
      </c>
      <c r="Q57" s="32">
        <f t="shared" si="1"/>
        <v>573000.71400000004</v>
      </c>
      <c r="R57" s="32">
        <f t="shared" si="2"/>
        <v>573000.71400000004</v>
      </c>
      <c r="S57" s="32"/>
      <c r="T57" s="7"/>
      <c r="U57" s="7"/>
      <c r="V57" s="7"/>
      <c r="W57" s="7"/>
      <c r="X57" s="7"/>
      <c r="Y57" s="7"/>
    </row>
    <row r="58" spans="1:25">
      <c r="A58" s="24">
        <v>54</v>
      </c>
      <c r="B58" s="24"/>
      <c r="C58" s="25" t="s">
        <v>206</v>
      </c>
      <c r="D58" s="26" t="s">
        <v>297</v>
      </c>
      <c r="E58" s="26" t="s">
        <v>298</v>
      </c>
      <c r="F58" s="27">
        <v>223946</v>
      </c>
      <c r="G58" s="28">
        <v>240745</v>
      </c>
      <c r="H58" s="29">
        <v>10590</v>
      </c>
      <c r="I58" s="30">
        <f t="shared" si="3"/>
        <v>245861</v>
      </c>
      <c r="J58" s="31">
        <f t="shared" si="4"/>
        <v>54</v>
      </c>
      <c r="K58" s="31">
        <f t="shared" si="0"/>
        <v>14</v>
      </c>
      <c r="L58" s="31">
        <f t="shared" si="5"/>
        <v>8</v>
      </c>
      <c r="M58" s="15">
        <f t="shared" si="6"/>
        <v>6</v>
      </c>
      <c r="N58" s="21">
        <f t="shared" si="7"/>
        <v>12645</v>
      </c>
      <c r="O58" s="32">
        <f>N58*VLOOKUP($K58,[1]สูตร!$A$5:$D$10,4)</f>
        <v>126450</v>
      </c>
      <c r="P58" s="23">
        <f>VLOOKUP(J58,[1]สูตร!$A$14:$D$19,4)</f>
        <v>0.9</v>
      </c>
      <c r="Q58" s="32">
        <f t="shared" si="1"/>
        <v>113805</v>
      </c>
      <c r="R58" s="32">
        <f t="shared" si="2"/>
        <v>113805</v>
      </c>
      <c r="S58" s="32"/>
      <c r="T58" s="7"/>
      <c r="U58" s="7"/>
      <c r="V58" s="7"/>
      <c r="W58" s="7"/>
      <c r="X58" s="7"/>
      <c r="Y58" s="7"/>
    </row>
    <row r="59" spans="1:25">
      <c r="A59" s="15">
        <v>55</v>
      </c>
      <c r="B59" s="15"/>
      <c r="C59" s="25" t="s">
        <v>12</v>
      </c>
      <c r="D59" s="26" t="s">
        <v>299</v>
      </c>
      <c r="E59" s="26" t="s">
        <v>300</v>
      </c>
      <c r="F59" s="27">
        <v>224233</v>
      </c>
      <c r="G59" s="28">
        <v>231747</v>
      </c>
      <c r="H59" s="29">
        <v>19350</v>
      </c>
      <c r="I59" s="30">
        <f t="shared" si="3"/>
        <v>246148</v>
      </c>
      <c r="J59" s="31">
        <f t="shared" si="4"/>
        <v>54</v>
      </c>
      <c r="K59" s="31">
        <f t="shared" si="0"/>
        <v>39</v>
      </c>
      <c r="L59" s="31">
        <f t="shared" si="5"/>
        <v>33</v>
      </c>
      <c r="M59" s="15">
        <f t="shared" si="6"/>
        <v>6</v>
      </c>
      <c r="N59" s="21">
        <f t="shared" si="7"/>
        <v>23105</v>
      </c>
      <c r="O59" s="32">
        <f>N59*VLOOKUP($K59,[1]สูตร!$A$5:$D$10,4)</f>
        <v>307989.65000000002</v>
      </c>
      <c r="P59" s="23">
        <f>VLOOKUP(J59,[1]สูตร!$A$14:$D$19,4)</f>
        <v>0.9</v>
      </c>
      <c r="Q59" s="32">
        <f t="shared" si="1"/>
        <v>277190.68500000006</v>
      </c>
      <c r="R59" s="32">
        <f t="shared" si="2"/>
        <v>277190.68500000006</v>
      </c>
      <c r="S59" s="32"/>
      <c r="T59" s="7"/>
      <c r="U59" s="7"/>
      <c r="V59" s="7"/>
      <c r="W59" s="7"/>
      <c r="X59" s="7"/>
      <c r="Y59" s="7"/>
    </row>
    <row r="60" spans="1:25">
      <c r="A60" s="24">
        <v>56</v>
      </c>
      <c r="B60" s="24"/>
      <c r="C60" s="25" t="s">
        <v>12</v>
      </c>
      <c r="D60" s="26" t="s">
        <v>301</v>
      </c>
      <c r="E60" s="26" t="s">
        <v>302</v>
      </c>
      <c r="F60" s="27">
        <v>224230</v>
      </c>
      <c r="G60" s="28">
        <v>231932</v>
      </c>
      <c r="H60" s="29">
        <v>15000</v>
      </c>
      <c r="I60" s="30">
        <f t="shared" si="3"/>
        <v>246145</v>
      </c>
      <c r="J60" s="31">
        <f t="shared" si="4"/>
        <v>54</v>
      </c>
      <c r="K60" s="31">
        <f t="shared" si="0"/>
        <v>38</v>
      </c>
      <c r="L60" s="31">
        <f t="shared" si="5"/>
        <v>32</v>
      </c>
      <c r="M60" s="15">
        <f t="shared" si="6"/>
        <v>6</v>
      </c>
      <c r="N60" s="21">
        <f t="shared" si="7"/>
        <v>17911</v>
      </c>
      <c r="O60" s="32">
        <f>N60*VLOOKUP($K60,[1]สูตร!$A$5:$D$10,4)</f>
        <v>238753.63</v>
      </c>
      <c r="P60" s="23">
        <f>VLOOKUP(J60,[1]สูตร!$A$14:$D$19,4)</f>
        <v>0.9</v>
      </c>
      <c r="Q60" s="32">
        <f t="shared" si="1"/>
        <v>214878.26700000002</v>
      </c>
      <c r="R60" s="32">
        <f t="shared" si="2"/>
        <v>214878.26700000002</v>
      </c>
      <c r="S60" s="32"/>
      <c r="T60" s="7"/>
      <c r="U60" s="7"/>
      <c r="V60" s="7"/>
      <c r="W60" s="7"/>
      <c r="X60" s="7"/>
      <c r="Y60" s="7"/>
    </row>
    <row r="61" spans="1:25">
      <c r="A61" s="15">
        <v>57</v>
      </c>
      <c r="B61" s="15"/>
      <c r="C61" s="25" t="s">
        <v>7</v>
      </c>
      <c r="D61" s="26" t="s">
        <v>303</v>
      </c>
      <c r="E61" s="26" t="s">
        <v>304</v>
      </c>
      <c r="F61" s="27">
        <v>224373</v>
      </c>
      <c r="G61" s="28">
        <v>235766</v>
      </c>
      <c r="H61" s="29">
        <v>11250</v>
      </c>
      <c r="I61" s="30">
        <f t="shared" si="3"/>
        <v>246288</v>
      </c>
      <c r="J61" s="31">
        <f t="shared" si="4"/>
        <v>53</v>
      </c>
      <c r="K61" s="31">
        <f t="shared" si="0"/>
        <v>28</v>
      </c>
      <c r="L61" s="31">
        <f t="shared" si="5"/>
        <v>22</v>
      </c>
      <c r="M61" s="15">
        <f t="shared" si="6"/>
        <v>7</v>
      </c>
      <c r="N61" s="21">
        <f t="shared" si="7"/>
        <v>13836</v>
      </c>
      <c r="O61" s="32">
        <f>N61*VLOOKUP($K61,[1]สูตร!$A$5:$D$10,4)</f>
        <v>184433.88</v>
      </c>
      <c r="P61" s="23">
        <f>VLOOKUP(J61,[1]สูตร!$A$14:$D$19,4)</f>
        <v>0.9</v>
      </c>
      <c r="Q61" s="32">
        <f t="shared" si="1"/>
        <v>165990.492</v>
      </c>
      <c r="R61" s="32">
        <f t="shared" si="2"/>
        <v>165990.492</v>
      </c>
      <c r="S61" s="32"/>
      <c r="T61" s="7"/>
      <c r="U61" s="7"/>
      <c r="V61" s="7"/>
      <c r="W61" s="7"/>
      <c r="X61" s="7"/>
      <c r="Y61" s="7"/>
    </row>
    <row r="62" spans="1:25">
      <c r="A62" s="24">
        <v>58</v>
      </c>
      <c r="B62" s="24"/>
      <c r="C62" s="25" t="s">
        <v>206</v>
      </c>
      <c r="D62" s="26" t="s">
        <v>305</v>
      </c>
      <c r="E62" s="26" t="s">
        <v>306</v>
      </c>
      <c r="F62" s="27">
        <v>224527</v>
      </c>
      <c r="G62" s="28">
        <v>241065</v>
      </c>
      <c r="H62" s="29">
        <v>10590</v>
      </c>
      <c r="I62" s="30">
        <f t="shared" si="3"/>
        <v>246442</v>
      </c>
      <c r="J62" s="31">
        <f t="shared" si="4"/>
        <v>53</v>
      </c>
      <c r="K62" s="31">
        <f t="shared" si="0"/>
        <v>14</v>
      </c>
      <c r="L62" s="31">
        <f t="shared" si="5"/>
        <v>7</v>
      </c>
      <c r="M62" s="15">
        <f t="shared" si="6"/>
        <v>7</v>
      </c>
      <c r="N62" s="21">
        <f t="shared" si="7"/>
        <v>13024</v>
      </c>
      <c r="O62" s="32">
        <f>N62*VLOOKUP($K62,[1]สูตร!$A$5:$D$10,4)</f>
        <v>130240</v>
      </c>
      <c r="P62" s="23">
        <f>VLOOKUP(J62,[1]สูตร!$A$14:$D$19,4)</f>
        <v>0.9</v>
      </c>
      <c r="Q62" s="32">
        <f t="shared" si="1"/>
        <v>117216</v>
      </c>
      <c r="R62" s="32">
        <f t="shared" si="2"/>
        <v>117216</v>
      </c>
      <c r="S62" s="32"/>
      <c r="T62" s="7"/>
      <c r="U62" s="7"/>
      <c r="V62" s="7"/>
      <c r="W62" s="7"/>
      <c r="X62" s="7"/>
      <c r="Y62" s="7"/>
    </row>
    <row r="63" spans="1:25">
      <c r="A63" s="15">
        <v>59</v>
      </c>
      <c r="B63" s="15"/>
      <c r="C63" s="25" t="s">
        <v>7</v>
      </c>
      <c r="D63" s="26" t="s">
        <v>307</v>
      </c>
      <c r="E63" s="26" t="s">
        <v>308</v>
      </c>
      <c r="F63" s="27">
        <v>224597</v>
      </c>
      <c r="G63" s="28">
        <v>231761</v>
      </c>
      <c r="H63" s="29">
        <v>30500</v>
      </c>
      <c r="I63" s="30">
        <f t="shared" si="3"/>
        <v>246512</v>
      </c>
      <c r="J63" s="31">
        <f t="shared" si="4"/>
        <v>53</v>
      </c>
      <c r="K63" s="31">
        <f t="shared" si="0"/>
        <v>40</v>
      </c>
      <c r="L63" s="31">
        <f t="shared" si="5"/>
        <v>33</v>
      </c>
      <c r="M63" s="15">
        <f t="shared" si="6"/>
        <v>7</v>
      </c>
      <c r="N63" s="21">
        <f t="shared" si="7"/>
        <v>37511</v>
      </c>
      <c r="O63" s="32">
        <f>N63*VLOOKUP($K63,[1]สูตร!$A$5:$D$10,4)</f>
        <v>500021.63</v>
      </c>
      <c r="P63" s="23">
        <f>VLOOKUP(J63,[1]สูตร!$A$14:$D$19,4)</f>
        <v>0.9</v>
      </c>
      <c r="Q63" s="32">
        <f t="shared" si="1"/>
        <v>450019.467</v>
      </c>
      <c r="R63" s="32">
        <f t="shared" si="2"/>
        <v>450019.467</v>
      </c>
      <c r="S63" s="32"/>
      <c r="T63" s="7"/>
      <c r="U63" s="7"/>
      <c r="V63" s="7"/>
      <c r="W63" s="7"/>
      <c r="X63" s="7"/>
      <c r="Y63" s="7"/>
    </row>
    <row r="64" spans="1:25">
      <c r="A64" s="24">
        <v>60</v>
      </c>
      <c r="B64" s="24"/>
      <c r="C64" s="25" t="s">
        <v>7</v>
      </c>
      <c r="D64" s="26" t="s">
        <v>309</v>
      </c>
      <c r="E64" s="26" t="s">
        <v>310</v>
      </c>
      <c r="F64" s="27">
        <v>224573</v>
      </c>
      <c r="G64" s="28">
        <v>236817</v>
      </c>
      <c r="H64" s="29">
        <v>10590</v>
      </c>
      <c r="I64" s="30">
        <f t="shared" si="3"/>
        <v>246488</v>
      </c>
      <c r="J64" s="31">
        <f t="shared" si="4"/>
        <v>53</v>
      </c>
      <c r="K64" s="31">
        <f t="shared" si="0"/>
        <v>26</v>
      </c>
      <c r="L64" s="31">
        <f t="shared" si="5"/>
        <v>19</v>
      </c>
      <c r="M64" s="15">
        <f t="shared" si="6"/>
        <v>7</v>
      </c>
      <c r="N64" s="21">
        <f t="shared" si="7"/>
        <v>13024</v>
      </c>
      <c r="O64" s="32">
        <f>N64*VLOOKUP($K64,[1]สูตร!$A$5:$D$10,4)</f>
        <v>173609.92</v>
      </c>
      <c r="P64" s="23">
        <f>VLOOKUP(J64,[1]สูตร!$A$14:$D$19,4)</f>
        <v>0.9</v>
      </c>
      <c r="Q64" s="32">
        <f t="shared" si="1"/>
        <v>156248.92800000001</v>
      </c>
      <c r="R64" s="32">
        <f t="shared" si="2"/>
        <v>156248.92800000001</v>
      </c>
      <c r="S64" s="32"/>
      <c r="T64" s="7"/>
      <c r="U64" s="7"/>
      <c r="V64" s="7"/>
      <c r="W64" s="7"/>
      <c r="X64" s="7"/>
      <c r="Y64" s="7"/>
    </row>
    <row r="65" spans="1:25">
      <c r="A65" s="15">
        <v>61</v>
      </c>
      <c r="B65" s="15"/>
      <c r="C65" s="25" t="s">
        <v>12</v>
      </c>
      <c r="D65" s="26" t="s">
        <v>311</v>
      </c>
      <c r="E65" s="26" t="s">
        <v>312</v>
      </c>
      <c r="F65" s="27">
        <v>224813</v>
      </c>
      <c r="G65" s="28">
        <v>236493</v>
      </c>
      <c r="H65" s="29">
        <v>0</v>
      </c>
      <c r="I65" s="30">
        <f t="shared" si="3"/>
        <v>246728</v>
      </c>
      <c r="J65" s="31">
        <f t="shared" si="4"/>
        <v>52</v>
      </c>
      <c r="K65" s="31">
        <f t="shared" si="0"/>
        <v>28</v>
      </c>
      <c r="L65" s="31">
        <f t="shared" si="5"/>
        <v>20</v>
      </c>
      <c r="M65" s="15">
        <f t="shared" si="6"/>
        <v>8</v>
      </c>
      <c r="N65" s="21">
        <f t="shared" si="7"/>
        <v>0</v>
      </c>
      <c r="O65" s="32">
        <f>N65*VLOOKUP($K65,[1]สูตร!$A$5:$D$10,4)</f>
        <v>0</v>
      </c>
      <c r="P65" s="23">
        <f>VLOOKUP(J65,[1]สูตร!$A$14:$D$19,4)</f>
        <v>0.9</v>
      </c>
      <c r="Q65" s="32">
        <f t="shared" si="1"/>
        <v>0</v>
      </c>
      <c r="R65" s="32">
        <f t="shared" si="2"/>
        <v>0</v>
      </c>
      <c r="S65" s="32"/>
      <c r="T65" s="7"/>
      <c r="U65" s="7"/>
      <c r="V65" s="7"/>
      <c r="W65" s="7"/>
      <c r="X65" s="7"/>
      <c r="Y65" s="7"/>
    </row>
    <row r="66" spans="1:25">
      <c r="A66" s="24">
        <v>62</v>
      </c>
      <c r="B66" s="24"/>
      <c r="C66" s="25" t="s">
        <v>206</v>
      </c>
      <c r="D66" s="26" t="s">
        <v>313</v>
      </c>
      <c r="E66" s="26" t="s">
        <v>314</v>
      </c>
      <c r="F66" s="27">
        <v>224836</v>
      </c>
      <c r="G66" s="28">
        <v>240513</v>
      </c>
      <c r="H66" s="29">
        <v>0</v>
      </c>
      <c r="I66" s="30">
        <f t="shared" si="3"/>
        <v>246751</v>
      </c>
      <c r="J66" s="31">
        <f t="shared" si="4"/>
        <v>52</v>
      </c>
      <c r="K66" s="31">
        <f t="shared" si="0"/>
        <v>17</v>
      </c>
      <c r="L66" s="31">
        <f t="shared" si="5"/>
        <v>9</v>
      </c>
      <c r="M66" s="15">
        <f t="shared" si="6"/>
        <v>8</v>
      </c>
      <c r="N66" s="21">
        <f t="shared" si="7"/>
        <v>0</v>
      </c>
      <c r="O66" s="32">
        <f>N66*VLOOKUP($K66,[1]สูตร!$A$5:$D$10,4)</f>
        <v>0</v>
      </c>
      <c r="P66" s="23">
        <f>VLOOKUP(J66,[1]สูตร!$A$14:$D$19,4)</f>
        <v>0.9</v>
      </c>
      <c r="Q66" s="32">
        <f t="shared" si="1"/>
        <v>0</v>
      </c>
      <c r="R66" s="32">
        <f t="shared" si="2"/>
        <v>0</v>
      </c>
      <c r="S66" s="32"/>
      <c r="T66" s="7"/>
      <c r="U66" s="7"/>
      <c r="V66" s="7"/>
      <c r="W66" s="7"/>
      <c r="X66" s="7"/>
      <c r="Y66" s="7"/>
    </row>
    <row r="67" spans="1:25">
      <c r="A67" s="15">
        <v>63</v>
      </c>
      <c r="B67" s="15"/>
      <c r="C67" s="25" t="s">
        <v>206</v>
      </c>
      <c r="D67" s="26" t="s">
        <v>315</v>
      </c>
      <c r="E67" s="26" t="s">
        <v>316</v>
      </c>
      <c r="F67" s="27">
        <v>224678</v>
      </c>
      <c r="G67" s="28">
        <v>235380</v>
      </c>
      <c r="H67" s="29">
        <v>19400</v>
      </c>
      <c r="I67" s="30">
        <f t="shared" si="3"/>
        <v>246593</v>
      </c>
      <c r="J67" s="31">
        <f t="shared" si="4"/>
        <v>52</v>
      </c>
      <c r="K67" s="31">
        <f t="shared" si="0"/>
        <v>30</v>
      </c>
      <c r="L67" s="31">
        <f t="shared" si="5"/>
        <v>23</v>
      </c>
      <c r="M67" s="15">
        <f t="shared" si="6"/>
        <v>8</v>
      </c>
      <c r="N67" s="21">
        <f t="shared" si="7"/>
        <v>24575</v>
      </c>
      <c r="O67" s="32">
        <f>N67*VLOOKUP($K67,[1]สูตร!$A$5:$D$10,4)</f>
        <v>327584.75</v>
      </c>
      <c r="P67" s="23">
        <f>VLOOKUP(J67,[1]สูตร!$A$14:$D$19,4)</f>
        <v>0.9</v>
      </c>
      <c r="Q67" s="32">
        <f t="shared" si="1"/>
        <v>294826.27500000002</v>
      </c>
      <c r="R67" s="32">
        <f t="shared" si="2"/>
        <v>294826.27500000002</v>
      </c>
      <c r="S67" s="32"/>
      <c r="T67" s="7"/>
      <c r="U67" s="7"/>
      <c r="V67" s="7"/>
      <c r="W67" s="7"/>
      <c r="X67" s="7"/>
      <c r="Y67" s="7"/>
    </row>
    <row r="68" spans="1:25">
      <c r="A68" s="24">
        <v>64</v>
      </c>
      <c r="B68" s="24"/>
      <c r="C68" s="25" t="s">
        <v>206</v>
      </c>
      <c r="D68" s="26" t="s">
        <v>317</v>
      </c>
      <c r="E68" s="26" t="s">
        <v>318</v>
      </c>
      <c r="F68" s="27">
        <v>225125</v>
      </c>
      <c r="G68" s="28">
        <v>234425</v>
      </c>
      <c r="H68" s="29">
        <v>10590</v>
      </c>
      <c r="I68" s="30">
        <f t="shared" si="3"/>
        <v>247040</v>
      </c>
      <c r="J68" s="31">
        <f t="shared" si="4"/>
        <v>51</v>
      </c>
      <c r="K68" s="31">
        <f t="shared" si="0"/>
        <v>34</v>
      </c>
      <c r="L68" s="31">
        <f t="shared" si="5"/>
        <v>26</v>
      </c>
      <c r="M68" s="15">
        <f t="shared" si="6"/>
        <v>9</v>
      </c>
      <c r="N68" s="21">
        <f t="shared" si="7"/>
        <v>13818</v>
      </c>
      <c r="O68" s="32">
        <f>N68*VLOOKUP($K68,[1]สูตร!$A$5:$D$10,4)</f>
        <v>184193.94</v>
      </c>
      <c r="P68" s="23">
        <f>VLOOKUP(J68,[1]สูตร!$A$14:$D$19,4)</f>
        <v>0.9</v>
      </c>
      <c r="Q68" s="32">
        <f t="shared" si="1"/>
        <v>165774.546</v>
      </c>
      <c r="R68" s="32">
        <f t="shared" si="2"/>
        <v>165774.546</v>
      </c>
      <c r="S68" s="32"/>
      <c r="T68" s="7"/>
      <c r="U68" s="7"/>
      <c r="V68" s="7"/>
      <c r="W68" s="7"/>
      <c r="X68" s="7"/>
      <c r="Y68" s="7"/>
    </row>
    <row r="69" spans="1:25">
      <c r="A69" s="15">
        <v>65</v>
      </c>
      <c r="B69" s="15"/>
      <c r="C69" s="25" t="s">
        <v>12</v>
      </c>
      <c r="D69" s="26" t="s">
        <v>319</v>
      </c>
      <c r="E69" s="26" t="s">
        <v>302</v>
      </c>
      <c r="F69" s="27">
        <v>225156</v>
      </c>
      <c r="G69" s="28">
        <v>234622</v>
      </c>
      <c r="H69" s="29">
        <v>13500</v>
      </c>
      <c r="I69" s="30">
        <f t="shared" si="3"/>
        <v>247071</v>
      </c>
      <c r="J69" s="31">
        <f t="shared" si="4"/>
        <v>51</v>
      </c>
      <c r="K69" s="31">
        <f t="shared" ref="K69:K128" si="8">DATEDIF(G69,I69,"Y")</f>
        <v>34</v>
      </c>
      <c r="L69" s="31">
        <f t="shared" si="5"/>
        <v>25</v>
      </c>
      <c r="M69" s="15">
        <f t="shared" si="6"/>
        <v>9</v>
      </c>
      <c r="N69" s="21">
        <f t="shared" si="7"/>
        <v>17614</v>
      </c>
      <c r="O69" s="32">
        <f>N69*VLOOKUP($K69,[1]สูตร!$A$5:$D$10,4)</f>
        <v>234794.62</v>
      </c>
      <c r="P69" s="23">
        <f>VLOOKUP(J69,[1]สูตร!$A$14:$D$19,4)</f>
        <v>0.9</v>
      </c>
      <c r="Q69" s="32">
        <f t="shared" ref="Q69:Q128" si="9">+O69*P69</f>
        <v>211315.158</v>
      </c>
      <c r="R69" s="32">
        <f t="shared" ref="R69:R128" si="10">IF(J69&gt;=$F$3,Q69,ROUND(Q69*L69/K69,2))</f>
        <v>211315.158</v>
      </c>
      <c r="S69" s="32"/>
      <c r="T69" s="7"/>
      <c r="U69" s="7"/>
      <c r="V69" s="7"/>
      <c r="W69" s="7"/>
      <c r="X69" s="7"/>
      <c r="Y69" s="7"/>
    </row>
    <row r="70" spans="1:25">
      <c r="A70" s="24">
        <v>66</v>
      </c>
      <c r="B70" s="24"/>
      <c r="C70" s="25" t="s">
        <v>7</v>
      </c>
      <c r="D70" s="26" t="s">
        <v>320</v>
      </c>
      <c r="E70" s="26" t="s">
        <v>321</v>
      </c>
      <c r="F70" s="27">
        <v>225221</v>
      </c>
      <c r="G70" s="28">
        <v>237732</v>
      </c>
      <c r="H70" s="29">
        <v>10590</v>
      </c>
      <c r="I70" s="30">
        <f t="shared" ref="I70:I128" si="11">DATE(YEAR(F70)+$N$2,MONTH(F70),DAY(F70))</f>
        <v>247136</v>
      </c>
      <c r="J70" s="31">
        <f t="shared" ref="J70:J128" si="12">DATEDIF(F70,$H$2,"Y")</f>
        <v>51</v>
      </c>
      <c r="K70" s="31">
        <f t="shared" si="8"/>
        <v>25</v>
      </c>
      <c r="L70" s="31">
        <f t="shared" ref="L70:L128" si="13">DATEDIF(G70,$H$2,"Y")</f>
        <v>17</v>
      </c>
      <c r="M70" s="15">
        <f t="shared" ref="M70:M128" si="14">IF($N$2-J70&lt;=0,0,($N$2-J70))</f>
        <v>9</v>
      </c>
      <c r="N70" s="21">
        <f t="shared" ref="N70:N128" si="15">ROUND(H70*(1+$K$2)^(M70),0)</f>
        <v>13818</v>
      </c>
      <c r="O70" s="32">
        <f>N70*VLOOKUP($K70,[1]สูตร!$A$5:$D$10,4)</f>
        <v>184193.94</v>
      </c>
      <c r="P70" s="23">
        <f>VLOOKUP(J70,[1]สูตร!$A$14:$D$19,4)</f>
        <v>0.9</v>
      </c>
      <c r="Q70" s="32">
        <f t="shared" si="9"/>
        <v>165774.546</v>
      </c>
      <c r="R70" s="32">
        <f t="shared" si="10"/>
        <v>165774.546</v>
      </c>
      <c r="S70" s="32"/>
      <c r="T70" s="7"/>
      <c r="U70" s="7"/>
      <c r="V70" s="7"/>
      <c r="W70" s="7"/>
      <c r="X70" s="7"/>
      <c r="Y70" s="7"/>
    </row>
    <row r="71" spans="1:25">
      <c r="A71" s="15">
        <v>67</v>
      </c>
      <c r="B71" s="15"/>
      <c r="C71" s="25" t="s">
        <v>206</v>
      </c>
      <c r="D71" s="26" t="s">
        <v>322</v>
      </c>
      <c r="E71" s="26" t="s">
        <v>323</v>
      </c>
      <c r="F71" s="27">
        <v>225250</v>
      </c>
      <c r="G71" s="28">
        <v>235236</v>
      </c>
      <c r="H71" s="29">
        <v>10590</v>
      </c>
      <c r="I71" s="30">
        <f t="shared" si="11"/>
        <v>247165</v>
      </c>
      <c r="J71" s="31">
        <f t="shared" si="12"/>
        <v>51</v>
      </c>
      <c r="K71" s="31">
        <f t="shared" si="8"/>
        <v>32</v>
      </c>
      <c r="L71" s="31">
        <f t="shared" si="13"/>
        <v>23</v>
      </c>
      <c r="M71" s="15">
        <f t="shared" si="14"/>
        <v>9</v>
      </c>
      <c r="N71" s="21">
        <f t="shared" si="15"/>
        <v>13818</v>
      </c>
      <c r="O71" s="32">
        <f>N71*VLOOKUP($K71,[1]สูตร!$A$5:$D$10,4)</f>
        <v>184193.94</v>
      </c>
      <c r="P71" s="23">
        <f>VLOOKUP(J71,[1]สูตร!$A$14:$D$19,4)</f>
        <v>0.9</v>
      </c>
      <c r="Q71" s="32">
        <f t="shared" si="9"/>
        <v>165774.546</v>
      </c>
      <c r="R71" s="32">
        <f t="shared" si="10"/>
        <v>165774.546</v>
      </c>
      <c r="S71" s="32"/>
      <c r="T71" s="7"/>
      <c r="U71" s="7"/>
      <c r="V71" s="7"/>
      <c r="W71" s="7"/>
      <c r="X71" s="7"/>
      <c r="Y71" s="7"/>
    </row>
    <row r="72" spans="1:25">
      <c r="A72" s="24">
        <v>68</v>
      </c>
      <c r="B72" s="24"/>
      <c r="C72" s="25" t="s">
        <v>206</v>
      </c>
      <c r="D72" s="26" t="s">
        <v>118</v>
      </c>
      <c r="E72" s="26" t="s">
        <v>324</v>
      </c>
      <c r="F72" s="27">
        <v>225353</v>
      </c>
      <c r="G72" s="28">
        <v>236355</v>
      </c>
      <c r="H72" s="29">
        <v>0</v>
      </c>
      <c r="I72" s="30">
        <f t="shared" si="11"/>
        <v>247268</v>
      </c>
      <c r="J72" s="31">
        <f t="shared" si="12"/>
        <v>51</v>
      </c>
      <c r="K72" s="31">
        <f t="shared" si="8"/>
        <v>29</v>
      </c>
      <c r="L72" s="31">
        <f t="shared" si="13"/>
        <v>20</v>
      </c>
      <c r="M72" s="15">
        <f t="shared" si="14"/>
        <v>9</v>
      </c>
      <c r="N72" s="21">
        <f t="shared" si="15"/>
        <v>0</v>
      </c>
      <c r="O72" s="32">
        <f>N72*VLOOKUP($K72,[1]สูตร!$A$5:$D$10,4)</f>
        <v>0</v>
      </c>
      <c r="P72" s="23">
        <f>VLOOKUP(J72,[1]สูตร!$A$14:$D$19,4)</f>
        <v>0.9</v>
      </c>
      <c r="Q72" s="32">
        <f t="shared" si="9"/>
        <v>0</v>
      </c>
      <c r="R72" s="32">
        <f t="shared" si="10"/>
        <v>0</v>
      </c>
      <c r="S72" s="32"/>
      <c r="T72" s="7"/>
      <c r="U72" s="7"/>
      <c r="V72" s="7"/>
      <c r="W72" s="7"/>
      <c r="X72" s="7"/>
      <c r="Y72" s="7"/>
    </row>
    <row r="73" spans="1:25">
      <c r="A73" s="15">
        <v>69</v>
      </c>
      <c r="B73" s="15"/>
      <c r="C73" s="25" t="s">
        <v>12</v>
      </c>
      <c r="D73" s="26" t="s">
        <v>50</v>
      </c>
      <c r="E73" s="26" t="s">
        <v>325</v>
      </c>
      <c r="F73" s="27">
        <v>225510</v>
      </c>
      <c r="G73" s="28">
        <v>240825</v>
      </c>
      <c r="H73" s="29">
        <v>10590</v>
      </c>
      <c r="I73" s="30">
        <f t="shared" si="11"/>
        <v>247425</v>
      </c>
      <c r="J73" s="31">
        <f t="shared" si="12"/>
        <v>50</v>
      </c>
      <c r="K73" s="31">
        <f t="shared" si="8"/>
        <v>18</v>
      </c>
      <c r="L73" s="31">
        <f t="shared" si="13"/>
        <v>8</v>
      </c>
      <c r="M73" s="15">
        <f t="shared" si="14"/>
        <v>10</v>
      </c>
      <c r="N73" s="21">
        <f t="shared" si="15"/>
        <v>14232</v>
      </c>
      <c r="O73" s="32">
        <f>N73*VLOOKUP($K73,[1]สูตร!$A$5:$D$10,4)</f>
        <v>142320</v>
      </c>
      <c r="P73" s="23">
        <f>VLOOKUP(J73,[1]สูตร!$A$14:$D$19,4)</f>
        <v>0.6</v>
      </c>
      <c r="Q73" s="32">
        <f t="shared" si="9"/>
        <v>85392</v>
      </c>
      <c r="R73" s="32">
        <f t="shared" si="10"/>
        <v>85392</v>
      </c>
      <c r="S73" s="32"/>
      <c r="T73" s="7"/>
      <c r="U73" s="7"/>
      <c r="V73" s="7"/>
      <c r="W73" s="7"/>
      <c r="X73" s="7"/>
      <c r="Y73" s="7"/>
    </row>
    <row r="74" spans="1:25">
      <c r="A74" s="24">
        <v>70</v>
      </c>
      <c r="B74" s="24"/>
      <c r="C74" s="25" t="s">
        <v>12</v>
      </c>
      <c r="D74" s="26" t="s">
        <v>326</v>
      </c>
      <c r="E74" s="26" t="s">
        <v>327</v>
      </c>
      <c r="F74" s="27">
        <v>225636</v>
      </c>
      <c r="G74" s="28">
        <v>235918</v>
      </c>
      <c r="H74" s="34">
        <v>133300</v>
      </c>
      <c r="I74" s="30">
        <f t="shared" si="11"/>
        <v>247551</v>
      </c>
      <c r="J74" s="31">
        <f t="shared" si="12"/>
        <v>50</v>
      </c>
      <c r="K74" s="31">
        <f t="shared" si="8"/>
        <v>31</v>
      </c>
      <c r="L74" s="31">
        <f t="shared" si="13"/>
        <v>22</v>
      </c>
      <c r="M74" s="15">
        <f t="shared" si="14"/>
        <v>10</v>
      </c>
      <c r="N74" s="21">
        <f t="shared" si="15"/>
        <v>179144</v>
      </c>
      <c r="O74" s="32">
        <f>N74*VLOOKUP($K74,[1]สูตร!$A$5:$D$10,4)</f>
        <v>2387989.52</v>
      </c>
      <c r="P74" s="23">
        <f>VLOOKUP(J74,[1]สูตร!$A$14:$D$19,4)</f>
        <v>0.6</v>
      </c>
      <c r="Q74" s="32">
        <f t="shared" si="9"/>
        <v>1432793.7120000001</v>
      </c>
      <c r="R74" s="32">
        <f t="shared" si="10"/>
        <v>1432793.7120000001</v>
      </c>
      <c r="S74" s="32"/>
      <c r="T74" s="7"/>
      <c r="U74" s="7"/>
      <c r="V74" s="7"/>
      <c r="W74" s="7"/>
      <c r="X74" s="7"/>
      <c r="Y74" s="7"/>
    </row>
    <row r="75" spans="1:25">
      <c r="A75" s="15">
        <v>71</v>
      </c>
      <c r="B75" s="15"/>
      <c r="C75" s="25" t="s">
        <v>12</v>
      </c>
      <c r="D75" s="26" t="s">
        <v>328</v>
      </c>
      <c r="E75" s="26" t="s">
        <v>329</v>
      </c>
      <c r="F75" s="27">
        <v>225607</v>
      </c>
      <c r="G75" s="28">
        <v>237132</v>
      </c>
      <c r="H75" s="29">
        <v>10590</v>
      </c>
      <c r="I75" s="30">
        <f t="shared" si="11"/>
        <v>247522</v>
      </c>
      <c r="J75" s="31">
        <f t="shared" si="12"/>
        <v>50</v>
      </c>
      <c r="K75" s="31">
        <f t="shared" si="8"/>
        <v>28</v>
      </c>
      <c r="L75" s="31">
        <f t="shared" si="13"/>
        <v>18</v>
      </c>
      <c r="M75" s="15">
        <f t="shared" si="14"/>
        <v>10</v>
      </c>
      <c r="N75" s="21">
        <f t="shared" si="15"/>
        <v>14232</v>
      </c>
      <c r="O75" s="32">
        <f>N75*VLOOKUP($K75,[1]สูตร!$A$5:$D$10,4)</f>
        <v>189712.56</v>
      </c>
      <c r="P75" s="23">
        <f>VLOOKUP(J75,[1]สูตร!$A$14:$D$19,4)</f>
        <v>0.6</v>
      </c>
      <c r="Q75" s="32">
        <f t="shared" si="9"/>
        <v>113827.53599999999</v>
      </c>
      <c r="R75" s="32">
        <f t="shared" si="10"/>
        <v>113827.53599999999</v>
      </c>
      <c r="S75" s="32"/>
      <c r="T75" s="7"/>
      <c r="U75" s="7"/>
      <c r="V75" s="7"/>
      <c r="W75" s="7"/>
      <c r="X75" s="7"/>
      <c r="Y75" s="7"/>
    </row>
    <row r="76" spans="1:25">
      <c r="A76" s="24">
        <v>72</v>
      </c>
      <c r="B76" s="24"/>
      <c r="C76" s="25" t="s">
        <v>206</v>
      </c>
      <c r="D76" s="26" t="s">
        <v>330</v>
      </c>
      <c r="E76" s="26" t="s">
        <v>331</v>
      </c>
      <c r="F76" s="27">
        <v>225691</v>
      </c>
      <c r="G76" s="28">
        <v>233678</v>
      </c>
      <c r="H76" s="29">
        <v>10590</v>
      </c>
      <c r="I76" s="30">
        <f t="shared" si="11"/>
        <v>247606</v>
      </c>
      <c r="J76" s="31">
        <f t="shared" si="12"/>
        <v>50</v>
      </c>
      <c r="K76" s="31">
        <f t="shared" si="8"/>
        <v>38</v>
      </c>
      <c r="L76" s="31">
        <f t="shared" si="13"/>
        <v>28</v>
      </c>
      <c r="M76" s="15">
        <f t="shared" si="14"/>
        <v>10</v>
      </c>
      <c r="N76" s="21">
        <f t="shared" si="15"/>
        <v>14232</v>
      </c>
      <c r="O76" s="32">
        <f>N76*VLOOKUP($K76,[1]สูตร!$A$5:$D$10,4)</f>
        <v>189712.56</v>
      </c>
      <c r="P76" s="23">
        <f>VLOOKUP(J76,[1]สูตร!$A$14:$D$19,4)</f>
        <v>0.6</v>
      </c>
      <c r="Q76" s="32">
        <f t="shared" si="9"/>
        <v>113827.53599999999</v>
      </c>
      <c r="R76" s="32">
        <f t="shared" si="10"/>
        <v>113827.53599999999</v>
      </c>
      <c r="S76" s="32"/>
      <c r="T76" s="7"/>
      <c r="U76" s="7"/>
      <c r="V76" s="7"/>
      <c r="W76" s="7"/>
      <c r="X76" s="7"/>
      <c r="Y76" s="7"/>
    </row>
    <row r="77" spans="1:25">
      <c r="A77" s="15">
        <v>73</v>
      </c>
      <c r="B77" s="15"/>
      <c r="C77" s="25" t="s">
        <v>206</v>
      </c>
      <c r="D77" s="26" t="s">
        <v>332</v>
      </c>
      <c r="E77" s="26" t="s">
        <v>333</v>
      </c>
      <c r="F77" s="27">
        <v>225709</v>
      </c>
      <c r="G77" s="28">
        <v>237586</v>
      </c>
      <c r="H77" s="29">
        <v>10590</v>
      </c>
      <c r="I77" s="30">
        <f t="shared" si="11"/>
        <v>247624</v>
      </c>
      <c r="J77" s="31">
        <f t="shared" si="12"/>
        <v>50</v>
      </c>
      <c r="K77" s="31">
        <f t="shared" si="8"/>
        <v>27</v>
      </c>
      <c r="L77" s="31">
        <f t="shared" si="13"/>
        <v>17</v>
      </c>
      <c r="M77" s="15">
        <f t="shared" si="14"/>
        <v>10</v>
      </c>
      <c r="N77" s="21">
        <f t="shared" si="15"/>
        <v>14232</v>
      </c>
      <c r="O77" s="32">
        <f>N77*VLOOKUP($K77,[1]สูตร!$A$5:$D$10,4)</f>
        <v>189712.56</v>
      </c>
      <c r="P77" s="23">
        <f>VLOOKUP(J77,[1]สูตร!$A$14:$D$19,4)</f>
        <v>0.6</v>
      </c>
      <c r="Q77" s="32">
        <f t="shared" si="9"/>
        <v>113827.53599999999</v>
      </c>
      <c r="R77" s="32">
        <f t="shared" si="10"/>
        <v>113827.53599999999</v>
      </c>
      <c r="S77" s="32"/>
      <c r="T77" s="7"/>
      <c r="U77" s="7"/>
      <c r="V77" s="7"/>
      <c r="W77" s="7"/>
      <c r="X77" s="7"/>
      <c r="Y77" s="7"/>
    </row>
    <row r="78" spans="1:25">
      <c r="A78" s="24">
        <v>74</v>
      </c>
      <c r="B78" s="24"/>
      <c r="C78" s="25" t="s">
        <v>206</v>
      </c>
      <c r="D78" s="26" t="s">
        <v>334</v>
      </c>
      <c r="E78" s="26" t="s">
        <v>335</v>
      </c>
      <c r="F78" s="27">
        <v>226187</v>
      </c>
      <c r="G78" s="28">
        <v>242317</v>
      </c>
      <c r="H78" s="29">
        <v>10590</v>
      </c>
      <c r="I78" s="30">
        <f t="shared" si="11"/>
        <v>248102</v>
      </c>
      <c r="J78" s="31">
        <f t="shared" si="12"/>
        <v>48</v>
      </c>
      <c r="K78" s="31">
        <f t="shared" si="8"/>
        <v>15</v>
      </c>
      <c r="L78" s="31">
        <f t="shared" si="13"/>
        <v>4</v>
      </c>
      <c r="M78" s="15">
        <f t="shared" si="14"/>
        <v>12</v>
      </c>
      <c r="N78" s="21">
        <f t="shared" si="15"/>
        <v>15099</v>
      </c>
      <c r="O78" s="32">
        <f>N78*VLOOKUP($K78,[1]สูตร!$A$5:$D$10,4)</f>
        <v>150990</v>
      </c>
      <c r="P78" s="23">
        <f>VLOOKUP(J78,[1]สูตร!$A$14:$D$19,4)</f>
        <v>0.6</v>
      </c>
      <c r="Q78" s="32">
        <f t="shared" si="9"/>
        <v>90594</v>
      </c>
      <c r="R78" s="32">
        <f t="shared" si="10"/>
        <v>90594</v>
      </c>
      <c r="S78" s="32"/>
      <c r="T78" s="7"/>
      <c r="U78" s="7"/>
      <c r="V78" s="7"/>
      <c r="W78" s="7"/>
      <c r="X78" s="7"/>
      <c r="Y78" s="7"/>
    </row>
    <row r="79" spans="1:25">
      <c r="A79" s="15">
        <v>75</v>
      </c>
      <c r="B79" s="15"/>
      <c r="C79" s="25" t="s">
        <v>12</v>
      </c>
      <c r="D79" s="26" t="s">
        <v>336</v>
      </c>
      <c r="E79" s="26" t="s">
        <v>337</v>
      </c>
      <c r="F79" s="27">
        <v>225886</v>
      </c>
      <c r="G79" s="28">
        <v>237588</v>
      </c>
      <c r="H79" s="29">
        <v>11040</v>
      </c>
      <c r="I79" s="30">
        <f t="shared" si="11"/>
        <v>247801</v>
      </c>
      <c r="J79" s="31">
        <f t="shared" si="12"/>
        <v>49</v>
      </c>
      <c r="K79" s="31">
        <f t="shared" si="8"/>
        <v>27</v>
      </c>
      <c r="L79" s="31">
        <f t="shared" si="13"/>
        <v>17</v>
      </c>
      <c r="M79" s="15">
        <f t="shared" si="14"/>
        <v>11</v>
      </c>
      <c r="N79" s="21">
        <f t="shared" si="15"/>
        <v>15282</v>
      </c>
      <c r="O79" s="32">
        <f>N79*VLOOKUP($K79,[1]สูตร!$A$5:$D$10,4)</f>
        <v>203709.06</v>
      </c>
      <c r="P79" s="23">
        <f>VLOOKUP(J79,[1]สูตร!$A$14:$D$19,4)</f>
        <v>0.6</v>
      </c>
      <c r="Q79" s="32">
        <f t="shared" si="9"/>
        <v>122225.43599999999</v>
      </c>
      <c r="R79" s="32">
        <f t="shared" si="10"/>
        <v>122225.43599999999</v>
      </c>
      <c r="S79" s="32"/>
      <c r="T79" s="7"/>
      <c r="U79" s="7"/>
      <c r="V79" s="7"/>
      <c r="W79" s="7"/>
      <c r="X79" s="7"/>
      <c r="Y79" s="7"/>
    </row>
    <row r="80" spans="1:25">
      <c r="A80" s="24">
        <v>76</v>
      </c>
      <c r="B80" s="24"/>
      <c r="C80" s="25" t="s">
        <v>12</v>
      </c>
      <c r="D80" s="26" t="s">
        <v>338</v>
      </c>
      <c r="E80" s="26" t="s">
        <v>339</v>
      </c>
      <c r="F80" s="27">
        <v>225913</v>
      </c>
      <c r="G80" s="28">
        <v>236436</v>
      </c>
      <c r="H80" s="29">
        <v>14400</v>
      </c>
      <c r="I80" s="30">
        <f t="shared" si="11"/>
        <v>247828</v>
      </c>
      <c r="J80" s="31">
        <f t="shared" si="12"/>
        <v>49</v>
      </c>
      <c r="K80" s="31">
        <f t="shared" si="8"/>
        <v>31</v>
      </c>
      <c r="L80" s="31">
        <f t="shared" si="13"/>
        <v>20</v>
      </c>
      <c r="M80" s="15">
        <f t="shared" si="14"/>
        <v>11</v>
      </c>
      <c r="N80" s="21">
        <f t="shared" si="15"/>
        <v>19933</v>
      </c>
      <c r="O80" s="32">
        <f>N80*VLOOKUP($K80,[1]สูตร!$A$5:$D$10,4)</f>
        <v>265706.89</v>
      </c>
      <c r="P80" s="23">
        <f>VLOOKUP(J80,[1]สูตร!$A$14:$D$19,4)</f>
        <v>0.6</v>
      </c>
      <c r="Q80" s="32">
        <f t="shared" si="9"/>
        <v>159424.13399999999</v>
      </c>
      <c r="R80" s="32">
        <f t="shared" si="10"/>
        <v>159424.13399999999</v>
      </c>
      <c r="S80" s="32"/>
      <c r="T80" s="7"/>
      <c r="U80" s="7"/>
      <c r="V80" s="7"/>
      <c r="W80" s="7"/>
      <c r="X80" s="7"/>
      <c r="Y80" s="7"/>
    </row>
    <row r="81" spans="1:25">
      <c r="A81" s="15">
        <v>77</v>
      </c>
      <c r="B81" s="15"/>
      <c r="C81" s="25" t="s">
        <v>12</v>
      </c>
      <c r="D81" s="26" t="s">
        <v>340</v>
      </c>
      <c r="E81" s="26" t="s">
        <v>341</v>
      </c>
      <c r="F81" s="27">
        <v>225958</v>
      </c>
      <c r="G81" s="28">
        <v>238986</v>
      </c>
      <c r="H81" s="29">
        <v>10620</v>
      </c>
      <c r="I81" s="30">
        <f t="shared" si="11"/>
        <v>247873</v>
      </c>
      <c r="J81" s="31">
        <f t="shared" si="12"/>
        <v>49</v>
      </c>
      <c r="K81" s="31">
        <f t="shared" si="8"/>
        <v>24</v>
      </c>
      <c r="L81" s="31">
        <f t="shared" si="13"/>
        <v>13</v>
      </c>
      <c r="M81" s="15">
        <f t="shared" si="14"/>
        <v>11</v>
      </c>
      <c r="N81" s="21">
        <f t="shared" si="15"/>
        <v>14701</v>
      </c>
      <c r="O81" s="32">
        <f>N81*VLOOKUP($K81,[1]สูตร!$A$5:$D$10,4)</f>
        <v>195964.33</v>
      </c>
      <c r="P81" s="23">
        <f>VLOOKUP(J81,[1]สูตร!$A$14:$D$19,4)</f>
        <v>0.6</v>
      </c>
      <c r="Q81" s="32">
        <f t="shared" si="9"/>
        <v>117578.59799999998</v>
      </c>
      <c r="R81" s="32">
        <f t="shared" si="10"/>
        <v>117578.59799999998</v>
      </c>
      <c r="S81" s="32"/>
      <c r="T81" s="7"/>
      <c r="U81" s="7"/>
      <c r="V81" s="7"/>
      <c r="W81" s="7"/>
      <c r="X81" s="7"/>
      <c r="Y81" s="7"/>
    </row>
    <row r="82" spans="1:25">
      <c r="A82" s="24">
        <v>78</v>
      </c>
      <c r="B82" s="24"/>
      <c r="C82" s="25" t="s">
        <v>7</v>
      </c>
      <c r="D82" s="26" t="s">
        <v>342</v>
      </c>
      <c r="E82" s="26" t="s">
        <v>343</v>
      </c>
      <c r="F82" s="27">
        <v>225987</v>
      </c>
      <c r="G82" s="28">
        <v>238168</v>
      </c>
      <c r="H82" s="29">
        <v>10590</v>
      </c>
      <c r="I82" s="30">
        <f t="shared" si="11"/>
        <v>247902</v>
      </c>
      <c r="J82" s="31">
        <f t="shared" si="12"/>
        <v>49</v>
      </c>
      <c r="K82" s="31">
        <f t="shared" si="8"/>
        <v>26</v>
      </c>
      <c r="L82" s="31">
        <f t="shared" si="13"/>
        <v>15</v>
      </c>
      <c r="M82" s="15">
        <f t="shared" si="14"/>
        <v>11</v>
      </c>
      <c r="N82" s="21">
        <f t="shared" si="15"/>
        <v>14659</v>
      </c>
      <c r="O82" s="32">
        <f>N82*VLOOKUP($K82,[1]สูตร!$A$5:$D$10,4)</f>
        <v>195404.47</v>
      </c>
      <c r="P82" s="23">
        <f>VLOOKUP(J82,[1]สูตร!$A$14:$D$19,4)</f>
        <v>0.6</v>
      </c>
      <c r="Q82" s="32">
        <f t="shared" si="9"/>
        <v>117242.682</v>
      </c>
      <c r="R82" s="32">
        <f t="shared" si="10"/>
        <v>117242.682</v>
      </c>
      <c r="S82" s="32"/>
      <c r="T82" s="7"/>
      <c r="U82" s="7"/>
      <c r="V82" s="7"/>
      <c r="W82" s="7"/>
      <c r="X82" s="7"/>
      <c r="Y82" s="7"/>
    </row>
    <row r="83" spans="1:25">
      <c r="A83" s="15">
        <v>79</v>
      </c>
      <c r="B83" s="15"/>
      <c r="C83" s="25" t="s">
        <v>12</v>
      </c>
      <c r="D83" s="26" t="s">
        <v>344</v>
      </c>
      <c r="E83" s="26" t="s">
        <v>345</v>
      </c>
      <c r="F83" s="27">
        <v>225751</v>
      </c>
      <c r="G83" s="28">
        <v>239742</v>
      </c>
      <c r="H83" s="29">
        <v>11100</v>
      </c>
      <c r="I83" s="30">
        <f t="shared" si="11"/>
        <v>247666</v>
      </c>
      <c r="J83" s="31">
        <f t="shared" si="12"/>
        <v>49</v>
      </c>
      <c r="K83" s="31">
        <f t="shared" si="8"/>
        <v>21</v>
      </c>
      <c r="L83" s="31">
        <f t="shared" si="13"/>
        <v>11</v>
      </c>
      <c r="M83" s="15">
        <f t="shared" si="14"/>
        <v>11</v>
      </c>
      <c r="N83" s="21">
        <f t="shared" si="15"/>
        <v>15365</v>
      </c>
      <c r="O83" s="32">
        <f>N83*VLOOKUP($K83,[1]สูตร!$A$5:$D$10,4)</f>
        <v>204815.45</v>
      </c>
      <c r="P83" s="23">
        <f>VLOOKUP(J83,[1]สูตร!$A$14:$D$19,4)</f>
        <v>0.6</v>
      </c>
      <c r="Q83" s="32">
        <f t="shared" si="9"/>
        <v>122889.27</v>
      </c>
      <c r="R83" s="32">
        <f t="shared" si="10"/>
        <v>122889.27</v>
      </c>
      <c r="S83" s="32"/>
      <c r="T83" s="7"/>
      <c r="U83" s="7"/>
      <c r="V83" s="7"/>
      <c r="W83" s="7"/>
      <c r="X83" s="7"/>
      <c r="Y83" s="7"/>
    </row>
    <row r="84" spans="1:25">
      <c r="A84" s="24">
        <v>80</v>
      </c>
      <c r="B84" s="24"/>
      <c r="C84" s="25" t="s">
        <v>206</v>
      </c>
      <c r="D84" s="26" t="s">
        <v>346</v>
      </c>
      <c r="E84" s="26" t="s">
        <v>347</v>
      </c>
      <c r="F84" s="27">
        <v>225790</v>
      </c>
      <c r="G84" s="28">
        <v>237802</v>
      </c>
      <c r="H84" s="29">
        <v>11430</v>
      </c>
      <c r="I84" s="30">
        <f t="shared" si="11"/>
        <v>247705</v>
      </c>
      <c r="J84" s="31">
        <f t="shared" si="12"/>
        <v>49</v>
      </c>
      <c r="K84" s="31">
        <f t="shared" si="8"/>
        <v>27</v>
      </c>
      <c r="L84" s="31">
        <f t="shared" si="13"/>
        <v>16</v>
      </c>
      <c r="M84" s="15">
        <f t="shared" si="14"/>
        <v>11</v>
      </c>
      <c r="N84" s="21">
        <f t="shared" si="15"/>
        <v>15822</v>
      </c>
      <c r="O84" s="32">
        <f>N84*VLOOKUP($K84,[1]สูตร!$A$5:$D$10,4)</f>
        <v>210907.26</v>
      </c>
      <c r="P84" s="23">
        <f>VLOOKUP(J84,[1]สูตร!$A$14:$D$19,4)</f>
        <v>0.6</v>
      </c>
      <c r="Q84" s="32">
        <f t="shared" si="9"/>
        <v>126544.356</v>
      </c>
      <c r="R84" s="32">
        <f t="shared" si="10"/>
        <v>126544.356</v>
      </c>
      <c r="S84" s="32"/>
      <c r="T84" s="7"/>
      <c r="U84" s="7"/>
      <c r="V84" s="7"/>
      <c r="W84" s="7"/>
      <c r="X84" s="7"/>
      <c r="Y84" s="7"/>
    </row>
    <row r="85" spans="1:25">
      <c r="A85" s="15">
        <v>81</v>
      </c>
      <c r="B85" s="15"/>
      <c r="C85" s="25" t="s">
        <v>206</v>
      </c>
      <c r="D85" s="26" t="s">
        <v>348</v>
      </c>
      <c r="E85" s="26" t="s">
        <v>314</v>
      </c>
      <c r="F85" s="27">
        <v>226056</v>
      </c>
      <c r="G85" s="28">
        <v>235957</v>
      </c>
      <c r="H85" s="29">
        <v>15600</v>
      </c>
      <c r="I85" s="30">
        <f t="shared" si="11"/>
        <v>247971</v>
      </c>
      <c r="J85" s="31">
        <f t="shared" si="12"/>
        <v>49</v>
      </c>
      <c r="K85" s="31">
        <f t="shared" si="8"/>
        <v>32</v>
      </c>
      <c r="L85" s="31">
        <f t="shared" si="13"/>
        <v>21</v>
      </c>
      <c r="M85" s="15">
        <f t="shared" si="14"/>
        <v>11</v>
      </c>
      <c r="N85" s="21">
        <f t="shared" si="15"/>
        <v>21594</v>
      </c>
      <c r="O85" s="32">
        <f>N85*VLOOKUP($K85,[1]สูตร!$A$5:$D$10,4)</f>
        <v>287848.02</v>
      </c>
      <c r="P85" s="23">
        <f>VLOOKUP(J85,[1]สูตร!$A$14:$D$19,4)</f>
        <v>0.6</v>
      </c>
      <c r="Q85" s="32">
        <f t="shared" si="9"/>
        <v>172708.81200000001</v>
      </c>
      <c r="R85" s="32">
        <f t="shared" si="10"/>
        <v>172708.81200000001</v>
      </c>
      <c r="S85" s="32"/>
      <c r="T85" s="7"/>
      <c r="U85" s="7"/>
      <c r="V85" s="7"/>
      <c r="W85" s="7"/>
      <c r="X85" s="7"/>
      <c r="Y85" s="7"/>
    </row>
    <row r="86" spans="1:25">
      <c r="A86" s="24">
        <v>82</v>
      </c>
      <c r="B86" s="24"/>
      <c r="C86" s="25" t="s">
        <v>7</v>
      </c>
      <c r="D86" s="26" t="s">
        <v>349</v>
      </c>
      <c r="E86" s="26" t="s">
        <v>350</v>
      </c>
      <c r="F86" s="27">
        <v>226118</v>
      </c>
      <c r="G86" s="28">
        <v>238172</v>
      </c>
      <c r="H86" s="29">
        <v>0</v>
      </c>
      <c r="I86" s="30">
        <f t="shared" si="11"/>
        <v>248033</v>
      </c>
      <c r="J86" s="31">
        <f t="shared" si="12"/>
        <v>48</v>
      </c>
      <c r="K86" s="31">
        <f t="shared" si="8"/>
        <v>26</v>
      </c>
      <c r="L86" s="31">
        <f t="shared" si="13"/>
        <v>15</v>
      </c>
      <c r="M86" s="15">
        <f t="shared" si="14"/>
        <v>12</v>
      </c>
      <c r="N86" s="21">
        <f t="shared" si="15"/>
        <v>0</v>
      </c>
      <c r="O86" s="32">
        <f>N86*VLOOKUP($K86,[1]สูตร!$A$5:$D$10,4)</f>
        <v>0</v>
      </c>
      <c r="P86" s="23">
        <f>VLOOKUP(J86,[1]สูตร!$A$14:$D$19,4)</f>
        <v>0.6</v>
      </c>
      <c r="Q86" s="32">
        <f t="shared" si="9"/>
        <v>0</v>
      </c>
      <c r="R86" s="32">
        <f t="shared" si="10"/>
        <v>0</v>
      </c>
      <c r="S86" s="32"/>
      <c r="T86" s="7"/>
      <c r="U86" s="7"/>
      <c r="V86" s="7"/>
      <c r="W86" s="7"/>
      <c r="X86" s="7"/>
      <c r="Y86" s="7"/>
    </row>
    <row r="87" spans="1:25">
      <c r="A87" s="15">
        <v>83</v>
      </c>
      <c r="B87" s="15"/>
      <c r="C87" s="25" t="s">
        <v>7</v>
      </c>
      <c r="D87" s="26" t="s">
        <v>351</v>
      </c>
      <c r="E87" s="26" t="s">
        <v>352</v>
      </c>
      <c r="F87" s="27">
        <v>226163</v>
      </c>
      <c r="G87" s="28">
        <v>241815</v>
      </c>
      <c r="H87" s="29">
        <v>10590</v>
      </c>
      <c r="I87" s="30">
        <f t="shared" si="11"/>
        <v>248078</v>
      </c>
      <c r="J87" s="31">
        <f t="shared" si="12"/>
        <v>48</v>
      </c>
      <c r="K87" s="31">
        <f t="shared" si="8"/>
        <v>17</v>
      </c>
      <c r="L87" s="31">
        <f t="shared" si="13"/>
        <v>5</v>
      </c>
      <c r="M87" s="15">
        <f t="shared" si="14"/>
        <v>12</v>
      </c>
      <c r="N87" s="21">
        <f t="shared" si="15"/>
        <v>15099</v>
      </c>
      <c r="O87" s="32">
        <f>N87*VLOOKUP($K87,[1]สูตร!$A$5:$D$10,4)</f>
        <v>150990</v>
      </c>
      <c r="P87" s="23">
        <f>VLOOKUP(J87,[1]สูตร!$A$14:$D$19,4)</f>
        <v>0.6</v>
      </c>
      <c r="Q87" s="32">
        <f t="shared" si="9"/>
        <v>90594</v>
      </c>
      <c r="R87" s="32">
        <f t="shared" si="10"/>
        <v>90594</v>
      </c>
      <c r="S87" s="32"/>
      <c r="T87" s="7"/>
      <c r="U87" s="7"/>
      <c r="V87" s="7"/>
      <c r="W87" s="7"/>
      <c r="X87" s="7"/>
      <c r="Y87" s="7"/>
    </row>
    <row r="88" spans="1:25">
      <c r="A88" s="24">
        <v>84</v>
      </c>
      <c r="B88" s="24"/>
      <c r="C88" s="25" t="s">
        <v>12</v>
      </c>
      <c r="D88" s="26" t="s">
        <v>353</v>
      </c>
      <c r="E88" s="26" t="s">
        <v>354</v>
      </c>
      <c r="F88" s="27">
        <v>226550</v>
      </c>
      <c r="G88" s="28">
        <v>236829</v>
      </c>
      <c r="H88" s="29">
        <v>0</v>
      </c>
      <c r="I88" s="30">
        <f t="shared" si="11"/>
        <v>248465</v>
      </c>
      <c r="J88" s="31">
        <f t="shared" si="12"/>
        <v>47</v>
      </c>
      <c r="K88" s="31">
        <f t="shared" si="8"/>
        <v>31</v>
      </c>
      <c r="L88" s="31">
        <f t="shared" si="13"/>
        <v>19</v>
      </c>
      <c r="M88" s="15">
        <f t="shared" si="14"/>
        <v>13</v>
      </c>
      <c r="N88" s="21">
        <f t="shared" si="15"/>
        <v>0</v>
      </c>
      <c r="O88" s="32">
        <f>N88*VLOOKUP($K88,[1]สูตร!$A$5:$D$10,4)</f>
        <v>0</v>
      </c>
      <c r="P88" s="23">
        <f>VLOOKUP(J88,[1]สูตร!$A$14:$D$19,4)</f>
        <v>0.6</v>
      </c>
      <c r="Q88" s="32">
        <f t="shared" si="9"/>
        <v>0</v>
      </c>
      <c r="R88" s="32">
        <f t="shared" si="10"/>
        <v>0</v>
      </c>
      <c r="S88" s="32"/>
      <c r="T88" s="7"/>
      <c r="U88" s="7"/>
      <c r="V88" s="7"/>
      <c r="W88" s="7"/>
      <c r="X88" s="7"/>
      <c r="Y88" s="7"/>
    </row>
    <row r="89" spans="1:25">
      <c r="A89" s="15">
        <v>85</v>
      </c>
      <c r="B89" s="15"/>
      <c r="C89" s="25" t="s">
        <v>206</v>
      </c>
      <c r="D89" s="26" t="s">
        <v>355</v>
      </c>
      <c r="E89" s="26" t="s">
        <v>356</v>
      </c>
      <c r="F89" s="27">
        <v>226683</v>
      </c>
      <c r="G89" s="28">
        <v>240736</v>
      </c>
      <c r="H89" s="29">
        <v>10590</v>
      </c>
      <c r="I89" s="30">
        <f t="shared" si="11"/>
        <v>248598</v>
      </c>
      <c r="J89" s="31">
        <f t="shared" si="12"/>
        <v>47</v>
      </c>
      <c r="K89" s="31">
        <f t="shared" si="8"/>
        <v>21</v>
      </c>
      <c r="L89" s="31">
        <f t="shared" si="13"/>
        <v>8</v>
      </c>
      <c r="M89" s="15">
        <f t="shared" si="14"/>
        <v>13</v>
      </c>
      <c r="N89" s="21">
        <f t="shared" si="15"/>
        <v>15552</v>
      </c>
      <c r="O89" s="32">
        <f>N89*VLOOKUP($K89,[1]สูตร!$A$5:$D$10,4)</f>
        <v>207308.16</v>
      </c>
      <c r="P89" s="23">
        <f>VLOOKUP(J89,[1]สูตร!$A$14:$D$19,4)</f>
        <v>0.6</v>
      </c>
      <c r="Q89" s="32">
        <f t="shared" si="9"/>
        <v>124384.89599999999</v>
      </c>
      <c r="R89" s="32">
        <f t="shared" si="10"/>
        <v>124384.89599999999</v>
      </c>
      <c r="S89" s="32"/>
      <c r="T89" s="7"/>
      <c r="U89" s="7"/>
      <c r="V89" s="7"/>
      <c r="W89" s="7"/>
      <c r="X89" s="7"/>
      <c r="Y89" s="7"/>
    </row>
    <row r="90" spans="1:25">
      <c r="A90" s="24">
        <v>86</v>
      </c>
      <c r="B90" s="24"/>
      <c r="C90" s="25" t="s">
        <v>12</v>
      </c>
      <c r="D90" s="26" t="s">
        <v>357</v>
      </c>
      <c r="E90" s="26" t="s">
        <v>358</v>
      </c>
      <c r="F90" s="27">
        <v>226724</v>
      </c>
      <c r="G90" s="28">
        <v>237824</v>
      </c>
      <c r="H90" s="29">
        <v>0</v>
      </c>
      <c r="I90" s="30">
        <f t="shared" si="11"/>
        <v>248639</v>
      </c>
      <c r="J90" s="31">
        <f t="shared" si="12"/>
        <v>47</v>
      </c>
      <c r="K90" s="31">
        <f t="shared" si="8"/>
        <v>29</v>
      </c>
      <c r="L90" s="31">
        <f t="shared" si="13"/>
        <v>16</v>
      </c>
      <c r="M90" s="15">
        <f t="shared" si="14"/>
        <v>13</v>
      </c>
      <c r="N90" s="21">
        <f t="shared" si="15"/>
        <v>0</v>
      </c>
      <c r="O90" s="32">
        <f>N90*VLOOKUP($K90,[1]สูตร!$A$5:$D$10,4)</f>
        <v>0</v>
      </c>
      <c r="P90" s="23">
        <f>VLOOKUP(J90,[1]สูตร!$A$14:$D$19,4)</f>
        <v>0.6</v>
      </c>
      <c r="Q90" s="32">
        <f t="shared" si="9"/>
        <v>0</v>
      </c>
      <c r="R90" s="32">
        <f t="shared" si="10"/>
        <v>0</v>
      </c>
      <c r="S90" s="32"/>
      <c r="T90" s="7"/>
      <c r="U90" s="7"/>
      <c r="V90" s="7"/>
      <c r="W90" s="7"/>
      <c r="X90" s="7"/>
      <c r="Y90" s="7"/>
    </row>
    <row r="91" spans="1:25">
      <c r="A91" s="15">
        <v>87</v>
      </c>
      <c r="B91" s="15"/>
      <c r="C91" s="25" t="s">
        <v>12</v>
      </c>
      <c r="D91" s="26" t="s">
        <v>225</v>
      </c>
      <c r="E91" s="26" t="s">
        <v>359</v>
      </c>
      <c r="F91" s="27">
        <v>226806</v>
      </c>
      <c r="G91" s="28">
        <v>236880</v>
      </c>
      <c r="H91" s="29">
        <v>10860</v>
      </c>
      <c r="I91" s="30">
        <f t="shared" si="11"/>
        <v>248721</v>
      </c>
      <c r="J91" s="31">
        <f t="shared" si="12"/>
        <v>47</v>
      </c>
      <c r="K91" s="31">
        <f t="shared" si="8"/>
        <v>32</v>
      </c>
      <c r="L91" s="31">
        <f t="shared" si="13"/>
        <v>19</v>
      </c>
      <c r="M91" s="15">
        <f t="shared" si="14"/>
        <v>13</v>
      </c>
      <c r="N91" s="21">
        <f t="shared" si="15"/>
        <v>15948</v>
      </c>
      <c r="O91" s="32">
        <f>N91*VLOOKUP($K91,[1]สูตร!$A$5:$D$10,4)</f>
        <v>212586.84</v>
      </c>
      <c r="P91" s="23">
        <f>VLOOKUP(J91,[1]สูตร!$A$14:$D$19,4)</f>
        <v>0.6</v>
      </c>
      <c r="Q91" s="32">
        <f t="shared" si="9"/>
        <v>127552.10399999999</v>
      </c>
      <c r="R91" s="32">
        <f t="shared" si="10"/>
        <v>127552.10399999999</v>
      </c>
      <c r="S91" s="32"/>
      <c r="T91" s="7"/>
      <c r="U91" s="7"/>
      <c r="V91" s="7"/>
      <c r="W91" s="7"/>
      <c r="X91" s="7"/>
      <c r="Y91" s="7"/>
    </row>
    <row r="92" spans="1:25">
      <c r="A92" s="24">
        <v>88</v>
      </c>
      <c r="B92" s="24"/>
      <c r="C92" s="25" t="s">
        <v>206</v>
      </c>
      <c r="D92" s="26" t="s">
        <v>144</v>
      </c>
      <c r="E92" s="26" t="s">
        <v>360</v>
      </c>
      <c r="F92" s="27">
        <v>226916</v>
      </c>
      <c r="G92" s="28">
        <v>236465</v>
      </c>
      <c r="H92" s="29">
        <v>27600</v>
      </c>
      <c r="I92" s="30">
        <f t="shared" si="11"/>
        <v>248831</v>
      </c>
      <c r="J92" s="31">
        <f t="shared" si="12"/>
        <v>46</v>
      </c>
      <c r="K92" s="31">
        <f t="shared" si="8"/>
        <v>33</v>
      </c>
      <c r="L92" s="31">
        <f t="shared" si="13"/>
        <v>20</v>
      </c>
      <c r="M92" s="15">
        <f t="shared" si="14"/>
        <v>14</v>
      </c>
      <c r="N92" s="21">
        <f t="shared" si="15"/>
        <v>41747</v>
      </c>
      <c r="O92" s="32">
        <f>N92*VLOOKUP($K92,[1]สูตร!$A$5:$D$10,4)</f>
        <v>556487.51</v>
      </c>
      <c r="P92" s="23">
        <f>VLOOKUP(J92,[1]สูตร!$A$14:$D$19,4)</f>
        <v>0.6</v>
      </c>
      <c r="Q92" s="32">
        <f t="shared" si="9"/>
        <v>333892.50599999999</v>
      </c>
      <c r="R92" s="32">
        <f t="shared" si="10"/>
        <v>333892.50599999999</v>
      </c>
      <c r="S92" s="32"/>
      <c r="T92" s="7"/>
      <c r="U92" s="7"/>
      <c r="V92" s="7"/>
      <c r="W92" s="7"/>
      <c r="X92" s="7"/>
      <c r="Y92" s="7"/>
    </row>
    <row r="93" spans="1:25">
      <c r="A93" s="15">
        <v>89</v>
      </c>
      <c r="B93" s="15"/>
      <c r="C93" s="25" t="s">
        <v>206</v>
      </c>
      <c r="D93" s="26" t="s">
        <v>361</v>
      </c>
      <c r="E93" s="26" t="s">
        <v>362</v>
      </c>
      <c r="F93" s="27">
        <v>226896</v>
      </c>
      <c r="G93" s="28">
        <v>238873</v>
      </c>
      <c r="H93" s="29">
        <v>10590</v>
      </c>
      <c r="I93" s="30">
        <f t="shared" si="11"/>
        <v>248811</v>
      </c>
      <c r="J93" s="31">
        <f t="shared" si="12"/>
        <v>46</v>
      </c>
      <c r="K93" s="31">
        <f t="shared" si="8"/>
        <v>27</v>
      </c>
      <c r="L93" s="31">
        <f t="shared" si="13"/>
        <v>13</v>
      </c>
      <c r="M93" s="15">
        <f t="shared" si="14"/>
        <v>14</v>
      </c>
      <c r="N93" s="21">
        <f t="shared" si="15"/>
        <v>16018</v>
      </c>
      <c r="O93" s="32">
        <f>N93*VLOOKUP($K93,[1]สูตร!$A$5:$D$10,4)</f>
        <v>213519.94</v>
      </c>
      <c r="P93" s="23">
        <f>VLOOKUP(J93,[1]สูตร!$A$14:$D$19,4)</f>
        <v>0.6</v>
      </c>
      <c r="Q93" s="32">
        <f t="shared" si="9"/>
        <v>128111.96399999999</v>
      </c>
      <c r="R93" s="32">
        <f t="shared" si="10"/>
        <v>128111.96399999999</v>
      </c>
      <c r="S93" s="32"/>
      <c r="T93" s="7"/>
      <c r="U93" s="7"/>
      <c r="V93" s="7"/>
      <c r="W93" s="7"/>
      <c r="X93" s="7"/>
      <c r="Y93" s="7"/>
    </row>
    <row r="94" spans="1:25">
      <c r="A94" s="24">
        <v>90</v>
      </c>
      <c r="B94" s="24"/>
      <c r="C94" s="25" t="s">
        <v>12</v>
      </c>
      <c r="D94" s="26" t="s">
        <v>363</v>
      </c>
      <c r="E94" s="26" t="s">
        <v>310</v>
      </c>
      <c r="F94" s="27">
        <v>227012</v>
      </c>
      <c r="G94" s="28">
        <v>235391</v>
      </c>
      <c r="H94" s="29">
        <v>12750</v>
      </c>
      <c r="I94" s="30">
        <f t="shared" si="11"/>
        <v>248927</v>
      </c>
      <c r="J94" s="31">
        <f t="shared" si="12"/>
        <v>46</v>
      </c>
      <c r="K94" s="31">
        <f t="shared" si="8"/>
        <v>37</v>
      </c>
      <c r="L94" s="31">
        <f t="shared" si="13"/>
        <v>23</v>
      </c>
      <c r="M94" s="15">
        <f t="shared" si="14"/>
        <v>14</v>
      </c>
      <c r="N94" s="21">
        <f t="shared" si="15"/>
        <v>19286</v>
      </c>
      <c r="O94" s="32">
        <f>N94*VLOOKUP($K94,[1]สูตร!$A$5:$D$10,4)</f>
        <v>257082.38</v>
      </c>
      <c r="P94" s="23">
        <f>VLOOKUP(J94,[1]สูตร!$A$14:$D$19,4)</f>
        <v>0.6</v>
      </c>
      <c r="Q94" s="32">
        <f t="shared" si="9"/>
        <v>154249.42799999999</v>
      </c>
      <c r="R94" s="32">
        <f t="shared" si="10"/>
        <v>154249.42799999999</v>
      </c>
      <c r="S94" s="32"/>
      <c r="T94" s="7"/>
      <c r="U94" s="7"/>
      <c r="V94" s="7"/>
      <c r="W94" s="7"/>
      <c r="X94" s="7"/>
      <c r="Y94" s="7"/>
    </row>
    <row r="95" spans="1:25">
      <c r="A95" s="15">
        <v>91</v>
      </c>
      <c r="B95" s="15"/>
      <c r="C95" s="25" t="s">
        <v>12</v>
      </c>
      <c r="D95" s="26" t="s">
        <v>307</v>
      </c>
      <c r="E95" s="26" t="s">
        <v>364</v>
      </c>
      <c r="F95" s="27">
        <v>227060</v>
      </c>
      <c r="G95" s="28">
        <v>235324</v>
      </c>
      <c r="H95" s="29">
        <v>12150</v>
      </c>
      <c r="I95" s="30">
        <f t="shared" si="11"/>
        <v>248975</v>
      </c>
      <c r="J95" s="31">
        <f t="shared" si="12"/>
        <v>46</v>
      </c>
      <c r="K95" s="31">
        <f t="shared" si="8"/>
        <v>37</v>
      </c>
      <c r="L95" s="31">
        <f t="shared" si="13"/>
        <v>23</v>
      </c>
      <c r="M95" s="15">
        <f t="shared" si="14"/>
        <v>14</v>
      </c>
      <c r="N95" s="21">
        <f t="shared" si="15"/>
        <v>18378</v>
      </c>
      <c r="O95" s="32">
        <f>N95*VLOOKUP($K95,[1]สูตร!$A$5:$D$10,4)</f>
        <v>244978.74</v>
      </c>
      <c r="P95" s="23">
        <f>VLOOKUP(J95,[1]สูตร!$A$14:$D$19,4)</f>
        <v>0.6</v>
      </c>
      <c r="Q95" s="32">
        <f t="shared" si="9"/>
        <v>146987.24399999998</v>
      </c>
      <c r="R95" s="32">
        <f t="shared" si="10"/>
        <v>146987.24399999998</v>
      </c>
      <c r="S95" s="32"/>
      <c r="T95" s="7"/>
      <c r="U95" s="7"/>
      <c r="V95" s="7"/>
      <c r="W95" s="7"/>
      <c r="X95" s="7"/>
      <c r="Y95" s="7"/>
    </row>
    <row r="96" spans="1:25">
      <c r="A96" s="24">
        <v>92</v>
      </c>
      <c r="B96" s="24"/>
      <c r="C96" s="25" t="s">
        <v>206</v>
      </c>
      <c r="D96" s="26" t="s">
        <v>62</v>
      </c>
      <c r="E96" s="26" t="s">
        <v>365</v>
      </c>
      <c r="F96" s="27">
        <v>227064</v>
      </c>
      <c r="G96" s="28">
        <v>234358</v>
      </c>
      <c r="H96" s="29">
        <v>11160</v>
      </c>
      <c r="I96" s="30">
        <f t="shared" si="11"/>
        <v>248979</v>
      </c>
      <c r="J96" s="31">
        <f t="shared" si="12"/>
        <v>46</v>
      </c>
      <c r="K96" s="31">
        <f t="shared" si="8"/>
        <v>40</v>
      </c>
      <c r="L96" s="31">
        <f t="shared" si="13"/>
        <v>26</v>
      </c>
      <c r="M96" s="15">
        <f t="shared" si="14"/>
        <v>14</v>
      </c>
      <c r="N96" s="21">
        <f t="shared" si="15"/>
        <v>16881</v>
      </c>
      <c r="O96" s="32">
        <f>N96*VLOOKUP($K96,[1]สูตร!$A$5:$D$10,4)</f>
        <v>225023.73</v>
      </c>
      <c r="P96" s="23">
        <f>VLOOKUP(J96,[1]สูตร!$A$14:$D$19,4)</f>
        <v>0.6</v>
      </c>
      <c r="Q96" s="32">
        <f t="shared" si="9"/>
        <v>135014.23800000001</v>
      </c>
      <c r="R96" s="32">
        <f t="shared" si="10"/>
        <v>135014.23800000001</v>
      </c>
      <c r="S96" s="32"/>
      <c r="T96" s="7"/>
      <c r="U96" s="7"/>
      <c r="V96" s="7"/>
      <c r="W96" s="7"/>
      <c r="X96" s="7"/>
      <c r="Y96" s="7"/>
    </row>
    <row r="97" spans="1:25">
      <c r="A97" s="15">
        <v>93</v>
      </c>
      <c r="B97" s="15"/>
      <c r="C97" s="25" t="s">
        <v>206</v>
      </c>
      <c r="D97" s="26" t="s">
        <v>366</v>
      </c>
      <c r="E97" s="26" t="s">
        <v>367</v>
      </c>
      <c r="F97" s="27">
        <v>227133</v>
      </c>
      <c r="G97" s="28">
        <v>238278</v>
      </c>
      <c r="H97" s="29">
        <v>10590</v>
      </c>
      <c r="I97" s="30">
        <f t="shared" si="11"/>
        <v>249048</v>
      </c>
      <c r="J97" s="31">
        <f t="shared" si="12"/>
        <v>46</v>
      </c>
      <c r="K97" s="31">
        <f t="shared" si="8"/>
        <v>29</v>
      </c>
      <c r="L97" s="31">
        <f t="shared" si="13"/>
        <v>15</v>
      </c>
      <c r="M97" s="15">
        <f t="shared" si="14"/>
        <v>14</v>
      </c>
      <c r="N97" s="21">
        <f t="shared" si="15"/>
        <v>16018</v>
      </c>
      <c r="O97" s="32">
        <f>N97*VLOOKUP($K97,[1]สูตร!$A$5:$D$10,4)</f>
        <v>213519.94</v>
      </c>
      <c r="P97" s="23">
        <f>VLOOKUP(J97,[1]สูตร!$A$14:$D$19,4)</f>
        <v>0.6</v>
      </c>
      <c r="Q97" s="32">
        <f t="shared" si="9"/>
        <v>128111.96399999999</v>
      </c>
      <c r="R97" s="32">
        <f t="shared" si="10"/>
        <v>128111.96399999999</v>
      </c>
      <c r="S97" s="32"/>
      <c r="T97" s="7"/>
      <c r="U97" s="7"/>
      <c r="V97" s="7"/>
      <c r="W97" s="7"/>
      <c r="X97" s="7"/>
      <c r="Y97" s="7"/>
    </row>
    <row r="98" spans="1:25">
      <c r="A98" s="24">
        <v>94</v>
      </c>
      <c r="B98" s="24"/>
      <c r="C98" s="25" t="s">
        <v>12</v>
      </c>
      <c r="D98" s="26" t="s">
        <v>368</v>
      </c>
      <c r="E98" s="26" t="s">
        <v>216</v>
      </c>
      <c r="F98" s="27">
        <v>227219</v>
      </c>
      <c r="G98" s="28">
        <v>236748</v>
      </c>
      <c r="H98" s="29">
        <v>12300</v>
      </c>
      <c r="I98" s="30">
        <f t="shared" si="11"/>
        <v>249134</v>
      </c>
      <c r="J98" s="31">
        <f t="shared" si="12"/>
        <v>45</v>
      </c>
      <c r="K98" s="31">
        <f t="shared" si="8"/>
        <v>33</v>
      </c>
      <c r="L98" s="31">
        <f t="shared" si="13"/>
        <v>19</v>
      </c>
      <c r="M98" s="15">
        <f t="shared" si="14"/>
        <v>15</v>
      </c>
      <c r="N98" s="21">
        <f t="shared" si="15"/>
        <v>19163</v>
      </c>
      <c r="O98" s="32">
        <f>N98*VLOOKUP($K98,[1]สูตร!$A$5:$D$10,4)</f>
        <v>255442.79</v>
      </c>
      <c r="P98" s="23">
        <f>VLOOKUP(J98,[1]สูตร!$A$14:$D$19,4)</f>
        <v>0.5</v>
      </c>
      <c r="Q98" s="32">
        <f t="shared" si="9"/>
        <v>127721.395</v>
      </c>
      <c r="R98" s="32">
        <f t="shared" si="10"/>
        <v>127721.395</v>
      </c>
      <c r="S98" s="32"/>
      <c r="T98" s="7"/>
      <c r="U98" s="7"/>
      <c r="V98" s="7"/>
      <c r="W98" s="7"/>
      <c r="X98" s="7"/>
      <c r="Y98" s="7"/>
    </row>
    <row r="99" spans="1:25">
      <c r="A99" s="15">
        <v>95</v>
      </c>
      <c r="B99" s="15"/>
      <c r="C99" s="25" t="s">
        <v>7</v>
      </c>
      <c r="D99" s="26" t="s">
        <v>141</v>
      </c>
      <c r="E99" s="26" t="s">
        <v>364</v>
      </c>
      <c r="F99" s="27">
        <v>227267</v>
      </c>
      <c r="G99" s="28">
        <v>235705</v>
      </c>
      <c r="H99" s="29">
        <v>10620</v>
      </c>
      <c r="I99" s="30">
        <f t="shared" si="11"/>
        <v>249182</v>
      </c>
      <c r="J99" s="31">
        <f t="shared" si="12"/>
        <v>45</v>
      </c>
      <c r="K99" s="31">
        <f t="shared" si="8"/>
        <v>36</v>
      </c>
      <c r="L99" s="31">
        <f t="shared" si="13"/>
        <v>22</v>
      </c>
      <c r="M99" s="15">
        <f t="shared" si="14"/>
        <v>15</v>
      </c>
      <c r="N99" s="21">
        <f t="shared" si="15"/>
        <v>16546</v>
      </c>
      <c r="O99" s="32">
        <f>N99*VLOOKUP($K99,[1]สูตร!$A$5:$D$10,4)</f>
        <v>220558.18</v>
      </c>
      <c r="P99" s="23">
        <f>VLOOKUP(J99,[1]สูตร!$A$14:$D$19,4)</f>
        <v>0.5</v>
      </c>
      <c r="Q99" s="32">
        <f t="shared" si="9"/>
        <v>110279.09</v>
      </c>
      <c r="R99" s="32">
        <f t="shared" si="10"/>
        <v>110279.09</v>
      </c>
      <c r="S99" s="32"/>
      <c r="T99" s="7"/>
      <c r="U99" s="7"/>
      <c r="V99" s="7"/>
      <c r="W99" s="7"/>
      <c r="X99" s="7"/>
      <c r="Y99" s="7"/>
    </row>
    <row r="100" spans="1:25">
      <c r="A100" s="24">
        <v>96</v>
      </c>
      <c r="B100" s="24"/>
      <c r="C100" s="25" t="s">
        <v>206</v>
      </c>
      <c r="D100" s="26" t="s">
        <v>369</v>
      </c>
      <c r="E100" s="26" t="s">
        <v>284</v>
      </c>
      <c r="F100" s="27">
        <v>227390</v>
      </c>
      <c r="G100" s="28">
        <v>235163</v>
      </c>
      <c r="H100" s="29">
        <v>10590</v>
      </c>
      <c r="I100" s="30">
        <f t="shared" si="11"/>
        <v>249305</v>
      </c>
      <c r="J100" s="31">
        <f t="shared" si="12"/>
        <v>45</v>
      </c>
      <c r="K100" s="31">
        <f t="shared" si="8"/>
        <v>38</v>
      </c>
      <c r="L100" s="31">
        <f t="shared" si="13"/>
        <v>24</v>
      </c>
      <c r="M100" s="15">
        <f t="shared" si="14"/>
        <v>15</v>
      </c>
      <c r="N100" s="21">
        <f t="shared" si="15"/>
        <v>16499</v>
      </c>
      <c r="O100" s="32">
        <f>N100*VLOOKUP($K100,[1]สูตร!$A$5:$D$10,4)</f>
        <v>219931.67</v>
      </c>
      <c r="P100" s="23">
        <f>VLOOKUP(J100,[1]สูตร!$A$14:$D$19,4)</f>
        <v>0.5</v>
      </c>
      <c r="Q100" s="32">
        <f t="shared" si="9"/>
        <v>109965.83500000001</v>
      </c>
      <c r="R100" s="32">
        <f t="shared" si="10"/>
        <v>109965.83500000001</v>
      </c>
      <c r="S100" s="32"/>
      <c r="T100" s="7"/>
      <c r="U100" s="7"/>
      <c r="V100" s="7"/>
      <c r="W100" s="7"/>
      <c r="X100" s="7"/>
      <c r="Y100" s="7"/>
    </row>
    <row r="101" spans="1:25">
      <c r="A101" s="15">
        <v>97</v>
      </c>
      <c r="B101" s="15"/>
      <c r="C101" s="25" t="s">
        <v>12</v>
      </c>
      <c r="D101" s="26" t="s">
        <v>370</v>
      </c>
      <c r="E101" s="26" t="s">
        <v>364</v>
      </c>
      <c r="F101" s="27">
        <v>227470</v>
      </c>
      <c r="G101" s="28">
        <v>237047</v>
      </c>
      <c r="H101" s="29">
        <v>12750</v>
      </c>
      <c r="I101" s="30">
        <f t="shared" si="11"/>
        <v>249385</v>
      </c>
      <c r="J101" s="31">
        <f t="shared" si="12"/>
        <v>45</v>
      </c>
      <c r="K101" s="31">
        <f t="shared" si="8"/>
        <v>33</v>
      </c>
      <c r="L101" s="31">
        <f t="shared" si="13"/>
        <v>18</v>
      </c>
      <c r="M101" s="15">
        <f t="shared" si="14"/>
        <v>15</v>
      </c>
      <c r="N101" s="21">
        <f t="shared" si="15"/>
        <v>19864</v>
      </c>
      <c r="O101" s="32">
        <f>N101*VLOOKUP($K101,[1]สูตร!$A$5:$D$10,4)</f>
        <v>264787.12</v>
      </c>
      <c r="P101" s="23">
        <f>VLOOKUP(J101,[1]สูตร!$A$14:$D$19,4)</f>
        <v>0.5</v>
      </c>
      <c r="Q101" s="32">
        <f t="shared" si="9"/>
        <v>132393.56</v>
      </c>
      <c r="R101" s="32">
        <f t="shared" si="10"/>
        <v>132393.56</v>
      </c>
      <c r="S101" s="32"/>
      <c r="T101" s="7"/>
      <c r="U101" s="7"/>
      <c r="V101" s="7"/>
      <c r="W101" s="7"/>
      <c r="X101" s="7"/>
      <c r="Y101" s="7"/>
    </row>
    <row r="102" spans="1:25">
      <c r="A102" s="24">
        <v>98</v>
      </c>
      <c r="B102" s="24"/>
      <c r="C102" s="25" t="s">
        <v>206</v>
      </c>
      <c r="D102" s="26" t="s">
        <v>371</v>
      </c>
      <c r="E102" s="26" t="s">
        <v>372</v>
      </c>
      <c r="F102" s="27">
        <v>227496</v>
      </c>
      <c r="G102" s="28">
        <v>237725</v>
      </c>
      <c r="H102" s="29">
        <v>10590</v>
      </c>
      <c r="I102" s="30">
        <f t="shared" si="11"/>
        <v>249411</v>
      </c>
      <c r="J102" s="31">
        <f t="shared" si="12"/>
        <v>45</v>
      </c>
      <c r="K102" s="31">
        <f t="shared" si="8"/>
        <v>31</v>
      </c>
      <c r="L102" s="31">
        <f t="shared" si="13"/>
        <v>17</v>
      </c>
      <c r="M102" s="15">
        <f t="shared" si="14"/>
        <v>15</v>
      </c>
      <c r="N102" s="21">
        <f t="shared" si="15"/>
        <v>16499</v>
      </c>
      <c r="O102" s="32">
        <f>N102*VLOOKUP($K102,[1]สูตร!$A$5:$D$10,4)</f>
        <v>219931.67</v>
      </c>
      <c r="P102" s="23">
        <f>VLOOKUP(J102,[1]สูตร!$A$14:$D$19,4)</f>
        <v>0.5</v>
      </c>
      <c r="Q102" s="32">
        <f t="shared" si="9"/>
        <v>109965.83500000001</v>
      </c>
      <c r="R102" s="32">
        <f t="shared" si="10"/>
        <v>109965.83500000001</v>
      </c>
      <c r="S102" s="32"/>
      <c r="T102" s="7"/>
      <c r="U102" s="7"/>
      <c r="V102" s="7"/>
      <c r="W102" s="7"/>
      <c r="X102" s="7"/>
      <c r="Y102" s="7"/>
    </row>
    <row r="103" spans="1:25">
      <c r="A103" s="15">
        <v>99</v>
      </c>
      <c r="B103" s="15"/>
      <c r="C103" s="25" t="s">
        <v>7</v>
      </c>
      <c r="D103" s="26" t="s">
        <v>373</v>
      </c>
      <c r="E103" s="26" t="s">
        <v>345</v>
      </c>
      <c r="F103" s="27">
        <v>227674</v>
      </c>
      <c r="G103" s="28">
        <v>235765</v>
      </c>
      <c r="H103" s="29">
        <v>10590</v>
      </c>
      <c r="I103" s="30">
        <f t="shared" si="11"/>
        <v>249589</v>
      </c>
      <c r="J103" s="31">
        <f t="shared" si="12"/>
        <v>44</v>
      </c>
      <c r="K103" s="31">
        <f t="shared" si="8"/>
        <v>37</v>
      </c>
      <c r="L103" s="31">
        <f t="shared" si="13"/>
        <v>22</v>
      </c>
      <c r="M103" s="15">
        <f t="shared" si="14"/>
        <v>16</v>
      </c>
      <c r="N103" s="21">
        <f t="shared" si="15"/>
        <v>16994</v>
      </c>
      <c r="O103" s="32">
        <f>N103*VLOOKUP($K103,[1]สูตร!$A$5:$D$10,4)</f>
        <v>226530.02</v>
      </c>
      <c r="P103" s="23">
        <f>VLOOKUP(J103,[1]สูตร!$A$14:$D$19,4)</f>
        <v>0.5</v>
      </c>
      <c r="Q103" s="32">
        <f t="shared" si="9"/>
        <v>113265.01</v>
      </c>
      <c r="R103" s="32">
        <f t="shared" si="10"/>
        <v>113265.01</v>
      </c>
      <c r="S103" s="32"/>
      <c r="T103" s="7"/>
      <c r="U103" s="7"/>
      <c r="V103" s="7"/>
      <c r="W103" s="7"/>
      <c r="X103" s="7"/>
      <c r="Y103" s="7"/>
    </row>
    <row r="104" spans="1:25">
      <c r="A104" s="24">
        <v>100</v>
      </c>
      <c r="B104" s="24"/>
      <c r="C104" s="25" t="s">
        <v>12</v>
      </c>
      <c r="D104" s="26" t="s">
        <v>374</v>
      </c>
      <c r="E104" s="26" t="s">
        <v>375</v>
      </c>
      <c r="F104" s="27">
        <v>227702</v>
      </c>
      <c r="G104" s="28">
        <v>240245</v>
      </c>
      <c r="H104" s="29">
        <v>10590</v>
      </c>
      <c r="I104" s="30">
        <f t="shared" si="11"/>
        <v>249617</v>
      </c>
      <c r="J104" s="31">
        <f t="shared" si="12"/>
        <v>44</v>
      </c>
      <c r="K104" s="31">
        <f t="shared" si="8"/>
        <v>25</v>
      </c>
      <c r="L104" s="31">
        <f t="shared" si="13"/>
        <v>10</v>
      </c>
      <c r="M104" s="15">
        <f t="shared" si="14"/>
        <v>16</v>
      </c>
      <c r="N104" s="21">
        <f t="shared" si="15"/>
        <v>16994</v>
      </c>
      <c r="O104" s="32">
        <f>N104*VLOOKUP($K104,[1]สูตร!$A$5:$D$10,4)</f>
        <v>226530.02</v>
      </c>
      <c r="P104" s="23">
        <f>VLOOKUP(J104,[1]สูตร!$A$14:$D$19,4)</f>
        <v>0.5</v>
      </c>
      <c r="Q104" s="32">
        <f t="shared" si="9"/>
        <v>113265.01</v>
      </c>
      <c r="R104" s="32">
        <f t="shared" si="10"/>
        <v>113265.01</v>
      </c>
      <c r="S104" s="32"/>
      <c r="T104" s="7"/>
      <c r="U104" s="7"/>
      <c r="V104" s="7"/>
      <c r="W104" s="7"/>
      <c r="X104" s="7"/>
      <c r="Y104" s="7"/>
    </row>
    <row r="105" spans="1:25">
      <c r="A105" s="15">
        <v>101</v>
      </c>
      <c r="B105" s="15"/>
      <c r="C105" s="25" t="s">
        <v>206</v>
      </c>
      <c r="D105" s="26" t="s">
        <v>376</v>
      </c>
      <c r="E105" s="26" t="s">
        <v>377</v>
      </c>
      <c r="F105" s="27">
        <v>227739</v>
      </c>
      <c r="G105" s="28">
        <v>236436</v>
      </c>
      <c r="H105" s="29">
        <v>11190</v>
      </c>
      <c r="I105" s="30">
        <f t="shared" si="11"/>
        <v>249654</v>
      </c>
      <c r="J105" s="31">
        <f t="shared" si="12"/>
        <v>44</v>
      </c>
      <c r="K105" s="31">
        <f t="shared" si="8"/>
        <v>36</v>
      </c>
      <c r="L105" s="31">
        <f t="shared" si="13"/>
        <v>20</v>
      </c>
      <c r="M105" s="15">
        <f t="shared" si="14"/>
        <v>16</v>
      </c>
      <c r="N105" s="21">
        <f t="shared" si="15"/>
        <v>17957</v>
      </c>
      <c r="O105" s="32">
        <f>N105*VLOOKUP($K105,[1]สูตร!$A$5:$D$10,4)</f>
        <v>239366.81</v>
      </c>
      <c r="P105" s="23">
        <f>VLOOKUP(J105,[1]สูตร!$A$14:$D$19,4)</f>
        <v>0.5</v>
      </c>
      <c r="Q105" s="32">
        <f t="shared" si="9"/>
        <v>119683.405</v>
      </c>
      <c r="R105" s="32">
        <f t="shared" si="10"/>
        <v>119683.405</v>
      </c>
      <c r="S105" s="32"/>
      <c r="T105" s="7"/>
      <c r="U105" s="7"/>
      <c r="V105" s="7"/>
      <c r="W105" s="7"/>
      <c r="X105" s="7"/>
      <c r="Y105" s="7"/>
    </row>
    <row r="106" spans="1:25">
      <c r="A106" s="24">
        <v>102</v>
      </c>
      <c r="B106" s="24"/>
      <c r="C106" s="25" t="s">
        <v>12</v>
      </c>
      <c r="D106" s="26" t="s">
        <v>378</v>
      </c>
      <c r="E106" s="26" t="s">
        <v>379</v>
      </c>
      <c r="F106" s="27">
        <v>227748</v>
      </c>
      <c r="G106" s="28">
        <v>234871</v>
      </c>
      <c r="H106" s="29">
        <v>11130</v>
      </c>
      <c r="I106" s="30">
        <f t="shared" si="11"/>
        <v>249663</v>
      </c>
      <c r="J106" s="31">
        <f t="shared" si="12"/>
        <v>44</v>
      </c>
      <c r="K106" s="31">
        <f t="shared" si="8"/>
        <v>40</v>
      </c>
      <c r="L106" s="31">
        <f t="shared" si="13"/>
        <v>24</v>
      </c>
      <c r="M106" s="15">
        <f t="shared" si="14"/>
        <v>16</v>
      </c>
      <c r="N106" s="21">
        <f t="shared" si="15"/>
        <v>17860</v>
      </c>
      <c r="O106" s="32">
        <f>N106*VLOOKUP($K106,[1]สูตร!$A$5:$D$10,4)</f>
        <v>238073.8</v>
      </c>
      <c r="P106" s="23">
        <f>VLOOKUP(J106,[1]สูตร!$A$14:$D$19,4)</f>
        <v>0.5</v>
      </c>
      <c r="Q106" s="32">
        <f t="shared" si="9"/>
        <v>119036.9</v>
      </c>
      <c r="R106" s="32">
        <f t="shared" si="10"/>
        <v>119036.9</v>
      </c>
      <c r="S106" s="32"/>
      <c r="T106" s="7"/>
      <c r="U106" s="7"/>
      <c r="V106" s="7"/>
      <c r="W106" s="7"/>
      <c r="X106" s="7"/>
      <c r="Y106" s="7"/>
    </row>
    <row r="107" spans="1:25">
      <c r="A107" s="15">
        <v>103</v>
      </c>
      <c r="B107" s="15"/>
      <c r="C107" s="25" t="s">
        <v>206</v>
      </c>
      <c r="D107" s="26" t="s">
        <v>380</v>
      </c>
      <c r="E107" s="26" t="s">
        <v>381</v>
      </c>
      <c r="F107" s="27">
        <v>227770</v>
      </c>
      <c r="G107" s="28">
        <v>234631</v>
      </c>
      <c r="H107" s="29">
        <v>12060</v>
      </c>
      <c r="I107" s="30">
        <f t="shared" si="11"/>
        <v>249685</v>
      </c>
      <c r="J107" s="31">
        <f t="shared" si="12"/>
        <v>44</v>
      </c>
      <c r="K107" s="31">
        <f t="shared" si="8"/>
        <v>41</v>
      </c>
      <c r="L107" s="31">
        <f t="shared" si="13"/>
        <v>25</v>
      </c>
      <c r="M107" s="15">
        <f t="shared" si="14"/>
        <v>16</v>
      </c>
      <c r="N107" s="21">
        <f t="shared" si="15"/>
        <v>19353</v>
      </c>
      <c r="O107" s="32">
        <f>N107*VLOOKUP($K107,[1]สูตร!$A$5:$D$10,4)</f>
        <v>257975.49</v>
      </c>
      <c r="P107" s="23">
        <f>VLOOKUP(J107,[1]สูตร!$A$14:$D$19,4)</f>
        <v>0.5</v>
      </c>
      <c r="Q107" s="32">
        <f t="shared" si="9"/>
        <v>128987.745</v>
      </c>
      <c r="R107" s="32">
        <f t="shared" si="10"/>
        <v>128987.745</v>
      </c>
      <c r="S107" s="32"/>
      <c r="T107" s="7"/>
      <c r="U107" s="7"/>
      <c r="V107" s="7"/>
      <c r="W107" s="7"/>
      <c r="X107" s="7"/>
      <c r="Y107" s="7"/>
    </row>
    <row r="108" spans="1:25">
      <c r="A108" s="24">
        <v>104</v>
      </c>
      <c r="B108" s="24"/>
      <c r="C108" s="25" t="s">
        <v>7</v>
      </c>
      <c r="D108" s="26" t="s">
        <v>21</v>
      </c>
      <c r="E108" s="26" t="s">
        <v>358</v>
      </c>
      <c r="F108" s="27">
        <v>227943</v>
      </c>
      <c r="G108" s="28">
        <v>237756</v>
      </c>
      <c r="H108" s="35">
        <v>0</v>
      </c>
      <c r="I108" s="30">
        <f t="shared" si="11"/>
        <v>249858</v>
      </c>
      <c r="J108" s="31">
        <f t="shared" si="12"/>
        <v>43</v>
      </c>
      <c r="K108" s="31">
        <f t="shared" si="8"/>
        <v>33</v>
      </c>
      <c r="L108" s="31">
        <f t="shared" si="13"/>
        <v>17</v>
      </c>
      <c r="M108" s="15">
        <f t="shared" si="14"/>
        <v>17</v>
      </c>
      <c r="N108" s="21">
        <f t="shared" si="15"/>
        <v>0</v>
      </c>
      <c r="O108" s="32">
        <f>N108*VLOOKUP($K108,[1]สูตร!$A$5:$D$10,4)</f>
        <v>0</v>
      </c>
      <c r="P108" s="23">
        <f>VLOOKUP(J108,[1]สูตร!$A$14:$D$19,4)</f>
        <v>0.5</v>
      </c>
      <c r="Q108" s="32">
        <f t="shared" si="9"/>
        <v>0</v>
      </c>
      <c r="R108" s="32">
        <f t="shared" si="10"/>
        <v>0</v>
      </c>
      <c r="S108" s="32"/>
      <c r="T108" s="7"/>
      <c r="U108" s="7"/>
      <c r="V108" s="7"/>
      <c r="W108" s="7"/>
      <c r="X108" s="7"/>
      <c r="Y108" s="7"/>
    </row>
    <row r="109" spans="1:25">
      <c r="A109" s="15">
        <v>105</v>
      </c>
      <c r="B109" s="15"/>
      <c r="C109" s="25" t="s">
        <v>12</v>
      </c>
      <c r="D109" s="26" t="s">
        <v>382</v>
      </c>
      <c r="E109" s="26" t="s">
        <v>259</v>
      </c>
      <c r="F109" s="27">
        <v>227997</v>
      </c>
      <c r="G109" s="28">
        <v>239762</v>
      </c>
      <c r="H109" s="35">
        <v>11100</v>
      </c>
      <c r="I109" s="30">
        <f t="shared" si="11"/>
        <v>249912</v>
      </c>
      <c r="J109" s="31">
        <f t="shared" si="12"/>
        <v>43</v>
      </c>
      <c r="K109" s="31">
        <f t="shared" si="8"/>
        <v>27</v>
      </c>
      <c r="L109" s="31">
        <f t="shared" si="13"/>
        <v>11</v>
      </c>
      <c r="M109" s="15">
        <f t="shared" si="14"/>
        <v>17</v>
      </c>
      <c r="N109" s="21">
        <f t="shared" si="15"/>
        <v>18347</v>
      </c>
      <c r="O109" s="32">
        <f>N109*VLOOKUP($K109,[1]สูตร!$A$5:$D$10,4)</f>
        <v>244565.51</v>
      </c>
      <c r="P109" s="23">
        <f>VLOOKUP(J109,[1]สูตร!$A$14:$D$19,4)</f>
        <v>0.5</v>
      </c>
      <c r="Q109" s="32">
        <f t="shared" si="9"/>
        <v>122282.755</v>
      </c>
      <c r="R109" s="32">
        <f t="shared" si="10"/>
        <v>122282.755</v>
      </c>
      <c r="S109" s="32"/>
      <c r="T109" s="7"/>
      <c r="U109" s="7"/>
      <c r="V109" s="7"/>
      <c r="W109" s="7"/>
      <c r="X109" s="7"/>
      <c r="Y109" s="7"/>
    </row>
    <row r="110" spans="1:25">
      <c r="A110" s="24">
        <v>106</v>
      </c>
      <c r="B110" s="24"/>
      <c r="C110" s="25" t="s">
        <v>206</v>
      </c>
      <c r="D110" s="26" t="s">
        <v>383</v>
      </c>
      <c r="E110" s="26" t="s">
        <v>384</v>
      </c>
      <c r="F110" s="27">
        <v>228090</v>
      </c>
      <c r="G110" s="28">
        <v>240575</v>
      </c>
      <c r="H110" s="35"/>
      <c r="I110" s="30">
        <f t="shared" si="11"/>
        <v>250005</v>
      </c>
      <c r="J110" s="31">
        <f t="shared" si="12"/>
        <v>43</v>
      </c>
      <c r="K110" s="31">
        <f t="shared" si="8"/>
        <v>25</v>
      </c>
      <c r="L110" s="31">
        <f t="shared" si="13"/>
        <v>9</v>
      </c>
      <c r="M110" s="15">
        <f t="shared" si="14"/>
        <v>17</v>
      </c>
      <c r="N110" s="21">
        <f t="shared" si="15"/>
        <v>0</v>
      </c>
      <c r="O110" s="32">
        <f>N110*VLOOKUP($K110,[1]สูตร!$A$5:$D$10,4)</f>
        <v>0</v>
      </c>
      <c r="P110" s="23">
        <f>VLOOKUP(J110,[1]สูตร!$A$14:$D$19,4)</f>
        <v>0.5</v>
      </c>
      <c r="Q110" s="32">
        <f t="shared" si="9"/>
        <v>0</v>
      </c>
      <c r="R110" s="32">
        <f t="shared" si="10"/>
        <v>0</v>
      </c>
      <c r="S110" s="32"/>
      <c r="T110" s="7"/>
      <c r="U110" s="7"/>
      <c r="V110" s="7"/>
      <c r="W110" s="7"/>
      <c r="X110" s="7"/>
      <c r="Y110" s="7"/>
    </row>
    <row r="111" spans="1:25">
      <c r="A111" s="15">
        <v>107</v>
      </c>
      <c r="B111" s="15"/>
      <c r="C111" s="25" t="s">
        <v>12</v>
      </c>
      <c r="D111" s="26" t="s">
        <v>385</v>
      </c>
      <c r="E111" s="26" t="s">
        <v>386</v>
      </c>
      <c r="F111" s="27">
        <v>228129</v>
      </c>
      <c r="G111" s="28">
        <v>237965</v>
      </c>
      <c r="H111" s="29">
        <v>10860</v>
      </c>
      <c r="I111" s="30">
        <f t="shared" si="11"/>
        <v>250044</v>
      </c>
      <c r="J111" s="31">
        <f t="shared" si="12"/>
        <v>43</v>
      </c>
      <c r="K111" s="31">
        <f t="shared" si="8"/>
        <v>33</v>
      </c>
      <c r="L111" s="31">
        <f t="shared" si="13"/>
        <v>16</v>
      </c>
      <c r="M111" s="15">
        <f t="shared" si="14"/>
        <v>17</v>
      </c>
      <c r="N111" s="21">
        <f t="shared" si="15"/>
        <v>17950</v>
      </c>
      <c r="O111" s="32">
        <f>N111*VLOOKUP($K111,[1]สูตร!$A$5:$D$10,4)</f>
        <v>239273.5</v>
      </c>
      <c r="P111" s="23">
        <f>VLOOKUP(J111,[1]สูตร!$A$14:$D$19,4)</f>
        <v>0.5</v>
      </c>
      <c r="Q111" s="32">
        <f t="shared" si="9"/>
        <v>119636.75</v>
      </c>
      <c r="R111" s="32">
        <f t="shared" si="10"/>
        <v>119636.75</v>
      </c>
      <c r="S111" s="32"/>
      <c r="T111" s="7"/>
      <c r="U111" s="7"/>
      <c r="V111" s="7"/>
      <c r="W111" s="7"/>
      <c r="X111" s="7"/>
      <c r="Y111" s="7"/>
    </row>
    <row r="112" spans="1:25">
      <c r="A112" s="24">
        <v>108</v>
      </c>
      <c r="B112" s="24"/>
      <c r="C112" s="25" t="s">
        <v>206</v>
      </c>
      <c r="D112" s="26" t="s">
        <v>387</v>
      </c>
      <c r="E112" s="26" t="s">
        <v>388</v>
      </c>
      <c r="F112" s="27">
        <v>228164</v>
      </c>
      <c r="G112" s="28">
        <v>238123</v>
      </c>
      <c r="H112" s="29">
        <v>28100</v>
      </c>
      <c r="I112" s="30">
        <f t="shared" si="11"/>
        <v>250079</v>
      </c>
      <c r="J112" s="31">
        <f t="shared" si="12"/>
        <v>43</v>
      </c>
      <c r="K112" s="31">
        <f t="shared" si="8"/>
        <v>32</v>
      </c>
      <c r="L112" s="31">
        <f t="shared" si="13"/>
        <v>16</v>
      </c>
      <c r="M112" s="15">
        <f t="shared" si="14"/>
        <v>17</v>
      </c>
      <c r="N112" s="21">
        <f t="shared" si="15"/>
        <v>46445</v>
      </c>
      <c r="O112" s="32">
        <f>N112*VLOOKUP($K112,[1]สูตร!$A$5:$D$10,4)</f>
        <v>619111.85</v>
      </c>
      <c r="P112" s="23">
        <f>VLOOKUP(J112,[1]สูตร!$A$14:$D$19,4)</f>
        <v>0.5</v>
      </c>
      <c r="Q112" s="32">
        <f t="shared" si="9"/>
        <v>309555.92499999999</v>
      </c>
      <c r="R112" s="32">
        <f t="shared" si="10"/>
        <v>309555.92499999999</v>
      </c>
      <c r="S112" s="32"/>
      <c r="T112" s="7"/>
      <c r="U112" s="7"/>
      <c r="V112" s="7"/>
      <c r="W112" s="7"/>
      <c r="X112" s="7"/>
      <c r="Y112" s="7"/>
    </row>
    <row r="113" spans="1:25">
      <c r="A113" s="15">
        <v>109</v>
      </c>
      <c r="B113" s="15"/>
      <c r="C113" s="25" t="s">
        <v>12</v>
      </c>
      <c r="D113" s="26" t="s">
        <v>389</v>
      </c>
      <c r="E113" s="26" t="s">
        <v>390</v>
      </c>
      <c r="F113" s="27">
        <v>228273</v>
      </c>
      <c r="G113" s="28">
        <v>235087</v>
      </c>
      <c r="H113" s="29">
        <v>12600</v>
      </c>
      <c r="I113" s="30">
        <f t="shared" si="11"/>
        <v>250188</v>
      </c>
      <c r="J113" s="31">
        <f t="shared" si="12"/>
        <v>43</v>
      </c>
      <c r="K113" s="31">
        <f t="shared" si="8"/>
        <v>41</v>
      </c>
      <c r="L113" s="31">
        <f t="shared" si="13"/>
        <v>24</v>
      </c>
      <c r="M113" s="15">
        <f t="shared" si="14"/>
        <v>17</v>
      </c>
      <c r="N113" s="21">
        <f t="shared" si="15"/>
        <v>20826</v>
      </c>
      <c r="O113" s="32">
        <f>N113*VLOOKUP($K113,[1]สูตร!$A$5:$D$10,4)</f>
        <v>277610.58</v>
      </c>
      <c r="P113" s="23">
        <f>VLOOKUP(J113,[1]สูตร!$A$14:$D$19,4)</f>
        <v>0.5</v>
      </c>
      <c r="Q113" s="32">
        <f t="shared" si="9"/>
        <v>138805.29</v>
      </c>
      <c r="R113" s="32">
        <f t="shared" si="10"/>
        <v>138805.29</v>
      </c>
      <c r="S113" s="32"/>
      <c r="T113" s="7"/>
      <c r="U113" s="7"/>
      <c r="V113" s="7"/>
      <c r="W113" s="7"/>
      <c r="X113" s="7"/>
      <c r="Y113" s="7"/>
    </row>
    <row r="114" spans="1:25">
      <c r="A114" s="24">
        <v>110</v>
      </c>
      <c r="B114" s="24"/>
      <c r="C114" s="25" t="s">
        <v>206</v>
      </c>
      <c r="D114" s="26" t="s">
        <v>391</v>
      </c>
      <c r="E114" s="26" t="s">
        <v>392</v>
      </c>
      <c r="F114" s="27">
        <v>228451</v>
      </c>
      <c r="G114" s="28">
        <v>237852</v>
      </c>
      <c r="H114" s="29">
        <v>10590</v>
      </c>
      <c r="I114" s="30">
        <f t="shared" si="11"/>
        <v>250366</v>
      </c>
      <c r="J114" s="31">
        <f t="shared" si="12"/>
        <v>42</v>
      </c>
      <c r="K114" s="31">
        <f t="shared" si="8"/>
        <v>34</v>
      </c>
      <c r="L114" s="31">
        <f t="shared" si="13"/>
        <v>16</v>
      </c>
      <c r="M114" s="15">
        <f t="shared" si="14"/>
        <v>18</v>
      </c>
      <c r="N114" s="21">
        <f t="shared" si="15"/>
        <v>18029</v>
      </c>
      <c r="O114" s="32">
        <f>N114*VLOOKUP($K114,[1]สูตร!$A$5:$D$10,4)</f>
        <v>240326.57</v>
      </c>
      <c r="P114" s="23">
        <f>VLOOKUP(J114,[1]สูตร!$A$14:$D$19,4)</f>
        <v>0.5</v>
      </c>
      <c r="Q114" s="32">
        <f t="shared" si="9"/>
        <v>120163.285</v>
      </c>
      <c r="R114" s="32">
        <f t="shared" si="10"/>
        <v>120163.285</v>
      </c>
      <c r="S114" s="32"/>
      <c r="T114" s="7"/>
      <c r="U114" s="7"/>
      <c r="V114" s="7"/>
      <c r="W114" s="7"/>
      <c r="X114" s="7"/>
      <c r="Y114" s="7"/>
    </row>
    <row r="115" spans="1:25">
      <c r="A115" s="15">
        <v>111</v>
      </c>
      <c r="B115" s="15"/>
      <c r="C115" s="25" t="s">
        <v>12</v>
      </c>
      <c r="D115" s="26" t="s">
        <v>393</v>
      </c>
      <c r="E115" s="26" t="s">
        <v>394</v>
      </c>
      <c r="F115" s="27">
        <v>228511</v>
      </c>
      <c r="G115" s="28">
        <v>241648</v>
      </c>
      <c r="H115" s="29">
        <v>10590</v>
      </c>
      <c r="I115" s="30">
        <f t="shared" si="11"/>
        <v>250426</v>
      </c>
      <c r="J115" s="31">
        <f t="shared" si="12"/>
        <v>42</v>
      </c>
      <c r="K115" s="31">
        <f t="shared" si="8"/>
        <v>24</v>
      </c>
      <c r="L115" s="31">
        <f t="shared" si="13"/>
        <v>6</v>
      </c>
      <c r="M115" s="15">
        <f t="shared" si="14"/>
        <v>18</v>
      </c>
      <c r="N115" s="21">
        <f t="shared" si="15"/>
        <v>18029</v>
      </c>
      <c r="O115" s="32">
        <f>N115*VLOOKUP($K115,[1]สูตร!$A$5:$D$10,4)</f>
        <v>240326.57</v>
      </c>
      <c r="P115" s="23">
        <f>VLOOKUP(J115,[1]สูตร!$A$14:$D$19,4)</f>
        <v>0.5</v>
      </c>
      <c r="Q115" s="32">
        <f t="shared" si="9"/>
        <v>120163.285</v>
      </c>
      <c r="R115" s="32">
        <f t="shared" si="10"/>
        <v>120163.285</v>
      </c>
      <c r="S115" s="32"/>
      <c r="T115" s="7"/>
      <c r="U115" s="7"/>
      <c r="V115" s="7"/>
      <c r="W115" s="7"/>
      <c r="X115" s="7"/>
      <c r="Y115" s="7"/>
    </row>
    <row r="116" spans="1:25">
      <c r="A116" s="24">
        <v>112</v>
      </c>
      <c r="B116" s="24"/>
      <c r="C116" s="25" t="s">
        <v>12</v>
      </c>
      <c r="D116" s="26" t="s">
        <v>395</v>
      </c>
      <c r="E116" s="26" t="s">
        <v>240</v>
      </c>
      <c r="F116" s="27">
        <v>228562</v>
      </c>
      <c r="G116" s="28">
        <v>238006</v>
      </c>
      <c r="H116" s="29">
        <v>11850</v>
      </c>
      <c r="I116" s="30">
        <f t="shared" si="11"/>
        <v>250477</v>
      </c>
      <c r="J116" s="31">
        <f t="shared" si="12"/>
        <v>42</v>
      </c>
      <c r="K116" s="31">
        <f t="shared" si="8"/>
        <v>34</v>
      </c>
      <c r="L116" s="31">
        <f t="shared" si="13"/>
        <v>16</v>
      </c>
      <c r="M116" s="15">
        <f t="shared" si="14"/>
        <v>18</v>
      </c>
      <c r="N116" s="21">
        <f t="shared" si="15"/>
        <v>20174</v>
      </c>
      <c r="O116" s="32">
        <f>N116*VLOOKUP($K116,[1]สูตร!$A$5:$D$10,4)</f>
        <v>268919.42</v>
      </c>
      <c r="P116" s="23">
        <f>VLOOKUP(J116,[1]สูตร!$A$14:$D$19,4)</f>
        <v>0.5</v>
      </c>
      <c r="Q116" s="32">
        <f t="shared" si="9"/>
        <v>134459.71</v>
      </c>
      <c r="R116" s="32">
        <f t="shared" si="10"/>
        <v>134459.71</v>
      </c>
      <c r="S116" s="32"/>
      <c r="T116" s="7"/>
      <c r="U116" s="7"/>
      <c r="V116" s="7"/>
      <c r="W116" s="7"/>
      <c r="X116" s="7"/>
      <c r="Y116" s="7"/>
    </row>
    <row r="117" spans="1:25">
      <c r="A117" s="15">
        <v>113</v>
      </c>
      <c r="B117" s="15"/>
      <c r="C117" s="25" t="s">
        <v>206</v>
      </c>
      <c r="D117" s="26" t="s">
        <v>396</v>
      </c>
      <c r="E117" s="26" t="s">
        <v>397</v>
      </c>
      <c r="F117" s="27">
        <v>228615</v>
      </c>
      <c r="G117" s="28">
        <v>240010</v>
      </c>
      <c r="H117" s="29">
        <v>0</v>
      </c>
      <c r="I117" s="30">
        <f t="shared" si="11"/>
        <v>250530</v>
      </c>
      <c r="J117" s="31">
        <f t="shared" si="12"/>
        <v>42</v>
      </c>
      <c r="K117" s="31">
        <f t="shared" si="8"/>
        <v>28</v>
      </c>
      <c r="L117" s="31">
        <f t="shared" si="13"/>
        <v>10</v>
      </c>
      <c r="M117" s="15">
        <f t="shared" si="14"/>
        <v>18</v>
      </c>
      <c r="N117" s="21">
        <f t="shared" si="15"/>
        <v>0</v>
      </c>
      <c r="O117" s="32">
        <f>N117*VLOOKUP($K117,[1]สูตร!$A$5:$D$10,4)</f>
        <v>0</v>
      </c>
      <c r="P117" s="23">
        <f>VLOOKUP(J117,[1]สูตร!$A$14:$D$19,4)</f>
        <v>0.5</v>
      </c>
      <c r="Q117" s="32">
        <f t="shared" si="9"/>
        <v>0</v>
      </c>
      <c r="R117" s="32">
        <f t="shared" si="10"/>
        <v>0</v>
      </c>
      <c r="S117" s="32"/>
      <c r="T117" s="7"/>
      <c r="U117" s="7"/>
      <c r="V117" s="7"/>
      <c r="W117" s="7"/>
      <c r="X117" s="7"/>
      <c r="Y117" s="7"/>
    </row>
    <row r="118" spans="1:25">
      <c r="A118" s="24">
        <v>114</v>
      </c>
      <c r="B118" s="24"/>
      <c r="C118" s="25" t="s">
        <v>206</v>
      </c>
      <c r="D118" s="26" t="s">
        <v>398</v>
      </c>
      <c r="E118" s="26" t="s">
        <v>302</v>
      </c>
      <c r="F118" s="27">
        <v>228778</v>
      </c>
      <c r="G118" s="28">
        <v>239974</v>
      </c>
      <c r="H118" s="29">
        <v>10590</v>
      </c>
      <c r="I118" s="30">
        <f t="shared" si="11"/>
        <v>250693</v>
      </c>
      <c r="J118" s="31">
        <f t="shared" si="12"/>
        <v>41</v>
      </c>
      <c r="K118" s="31">
        <f t="shared" si="8"/>
        <v>29</v>
      </c>
      <c r="L118" s="31">
        <f t="shared" si="13"/>
        <v>10</v>
      </c>
      <c r="M118" s="15">
        <f t="shared" si="14"/>
        <v>19</v>
      </c>
      <c r="N118" s="21">
        <f t="shared" si="15"/>
        <v>18570</v>
      </c>
      <c r="O118" s="32">
        <f>N118*VLOOKUP($K118,[1]สูตร!$A$5:$D$10,4)</f>
        <v>247538.1</v>
      </c>
      <c r="P118" s="23">
        <f>VLOOKUP(J118,[1]สูตร!$A$14:$D$19,4)</f>
        <v>0.5</v>
      </c>
      <c r="Q118" s="32">
        <f t="shared" si="9"/>
        <v>123769.05</v>
      </c>
      <c r="R118" s="32">
        <f t="shared" si="10"/>
        <v>123769.05</v>
      </c>
      <c r="S118" s="32"/>
      <c r="T118" s="7"/>
      <c r="U118" s="7"/>
      <c r="V118" s="7"/>
      <c r="W118" s="7"/>
      <c r="X118" s="7"/>
      <c r="Y118" s="7"/>
    </row>
    <row r="119" spans="1:25">
      <c r="A119" s="15">
        <v>115</v>
      </c>
      <c r="B119" s="15"/>
      <c r="C119" s="25" t="s">
        <v>206</v>
      </c>
      <c r="D119" s="26" t="s">
        <v>399</v>
      </c>
      <c r="E119" s="26" t="s">
        <v>400</v>
      </c>
      <c r="F119" s="27">
        <v>228854</v>
      </c>
      <c r="G119" s="28">
        <v>237588</v>
      </c>
      <c r="H119" s="29">
        <v>10620</v>
      </c>
      <c r="I119" s="30">
        <f t="shared" si="11"/>
        <v>250769</v>
      </c>
      <c r="J119" s="31">
        <f t="shared" si="12"/>
        <v>41</v>
      </c>
      <c r="K119" s="31">
        <f t="shared" si="8"/>
        <v>36</v>
      </c>
      <c r="L119" s="31">
        <f t="shared" si="13"/>
        <v>17</v>
      </c>
      <c r="M119" s="15">
        <f t="shared" si="14"/>
        <v>19</v>
      </c>
      <c r="N119" s="21">
        <f t="shared" si="15"/>
        <v>18622</v>
      </c>
      <c r="O119" s="32">
        <f>N119*VLOOKUP($K119,[1]สูตร!$A$5:$D$10,4)</f>
        <v>248231.26</v>
      </c>
      <c r="P119" s="23">
        <f>VLOOKUP(J119,[1]สูตร!$A$14:$D$19,4)</f>
        <v>0.5</v>
      </c>
      <c r="Q119" s="32">
        <f t="shared" si="9"/>
        <v>124115.63</v>
      </c>
      <c r="R119" s="32">
        <f t="shared" si="10"/>
        <v>124115.63</v>
      </c>
      <c r="S119" s="32"/>
      <c r="T119" s="7"/>
      <c r="U119" s="7"/>
      <c r="V119" s="7"/>
      <c r="W119" s="7"/>
      <c r="X119" s="7"/>
      <c r="Y119" s="7"/>
    </row>
    <row r="120" spans="1:25">
      <c r="A120" s="24">
        <v>116</v>
      </c>
      <c r="B120" s="24"/>
      <c r="C120" s="25" t="s">
        <v>12</v>
      </c>
      <c r="D120" s="26" t="s">
        <v>401</v>
      </c>
      <c r="E120" s="26" t="s">
        <v>402</v>
      </c>
      <c r="F120" s="27">
        <v>228964</v>
      </c>
      <c r="G120" s="28">
        <v>241123</v>
      </c>
      <c r="H120" s="29">
        <v>10590</v>
      </c>
      <c r="I120" s="30">
        <f t="shared" si="11"/>
        <v>250879</v>
      </c>
      <c r="J120" s="31">
        <f t="shared" si="12"/>
        <v>41</v>
      </c>
      <c r="K120" s="31">
        <f t="shared" si="8"/>
        <v>26</v>
      </c>
      <c r="L120" s="31">
        <f t="shared" si="13"/>
        <v>7</v>
      </c>
      <c r="M120" s="15">
        <f t="shared" si="14"/>
        <v>19</v>
      </c>
      <c r="N120" s="21">
        <f t="shared" si="15"/>
        <v>18570</v>
      </c>
      <c r="O120" s="32">
        <f>N120*VLOOKUP($K120,[1]สูตร!$A$5:$D$10,4)</f>
        <v>247538.1</v>
      </c>
      <c r="P120" s="23">
        <f>VLOOKUP(J120,[1]สูตร!$A$14:$D$19,4)</f>
        <v>0.5</v>
      </c>
      <c r="Q120" s="32">
        <f t="shared" si="9"/>
        <v>123769.05</v>
      </c>
      <c r="R120" s="32">
        <f t="shared" si="10"/>
        <v>123769.05</v>
      </c>
      <c r="S120" s="32"/>
      <c r="T120" s="7"/>
      <c r="U120" s="7"/>
      <c r="V120" s="7"/>
      <c r="W120" s="7"/>
      <c r="X120" s="7"/>
      <c r="Y120" s="7"/>
    </row>
    <row r="121" spans="1:25">
      <c r="A121" s="15">
        <v>117</v>
      </c>
      <c r="B121" s="15"/>
      <c r="C121" s="25" t="s">
        <v>206</v>
      </c>
      <c r="D121" s="26" t="s">
        <v>403</v>
      </c>
      <c r="E121" s="26" t="s">
        <v>404</v>
      </c>
      <c r="F121" s="27">
        <v>229052</v>
      </c>
      <c r="G121" s="28">
        <v>237180</v>
      </c>
      <c r="H121" s="29">
        <v>12150</v>
      </c>
      <c r="I121" s="30">
        <f t="shared" si="11"/>
        <v>250967</v>
      </c>
      <c r="J121" s="31">
        <f t="shared" si="12"/>
        <v>40</v>
      </c>
      <c r="K121" s="31">
        <f t="shared" si="8"/>
        <v>37</v>
      </c>
      <c r="L121" s="31">
        <f t="shared" si="13"/>
        <v>18</v>
      </c>
      <c r="M121" s="15">
        <f t="shared" si="14"/>
        <v>20</v>
      </c>
      <c r="N121" s="21">
        <f t="shared" si="15"/>
        <v>21944</v>
      </c>
      <c r="O121" s="32">
        <f>N121*VLOOKUP($K121,[1]สูตร!$A$5:$D$10,4)</f>
        <v>292513.52</v>
      </c>
      <c r="P121" s="23">
        <f>VLOOKUP(J121,[1]สูตร!$A$14:$D$19,4)</f>
        <v>0.2</v>
      </c>
      <c r="Q121" s="32">
        <f t="shared" si="9"/>
        <v>58502.704000000005</v>
      </c>
      <c r="R121" s="32">
        <f t="shared" si="10"/>
        <v>58502.704000000005</v>
      </c>
      <c r="S121" s="32"/>
      <c r="T121" s="7"/>
      <c r="U121" s="7"/>
      <c r="V121" s="7"/>
      <c r="W121" s="7"/>
      <c r="X121" s="7"/>
      <c r="Y121" s="7"/>
    </row>
    <row r="122" spans="1:25">
      <c r="A122" s="24">
        <v>118</v>
      </c>
      <c r="B122" s="24"/>
      <c r="C122" s="25" t="s">
        <v>12</v>
      </c>
      <c r="D122" s="26" t="s">
        <v>405</v>
      </c>
      <c r="E122" s="26" t="s">
        <v>406</v>
      </c>
      <c r="F122" s="27">
        <v>229072</v>
      </c>
      <c r="G122" s="28">
        <v>237393</v>
      </c>
      <c r="H122" s="29">
        <v>10590</v>
      </c>
      <c r="I122" s="30">
        <f t="shared" si="11"/>
        <v>250987</v>
      </c>
      <c r="J122" s="31">
        <f t="shared" si="12"/>
        <v>40</v>
      </c>
      <c r="K122" s="31">
        <f t="shared" si="8"/>
        <v>37</v>
      </c>
      <c r="L122" s="31">
        <f t="shared" si="13"/>
        <v>18</v>
      </c>
      <c r="M122" s="15">
        <f t="shared" si="14"/>
        <v>20</v>
      </c>
      <c r="N122" s="21">
        <f t="shared" si="15"/>
        <v>19127</v>
      </c>
      <c r="O122" s="32">
        <f>N122*VLOOKUP($K122,[1]สูตร!$A$5:$D$10,4)</f>
        <v>254962.91</v>
      </c>
      <c r="P122" s="23">
        <f>VLOOKUP(J122,[1]สูตร!$A$14:$D$19,4)</f>
        <v>0.2</v>
      </c>
      <c r="Q122" s="32">
        <f t="shared" si="9"/>
        <v>50992.582000000002</v>
      </c>
      <c r="R122" s="32">
        <f t="shared" si="10"/>
        <v>50992.582000000002</v>
      </c>
      <c r="S122" s="32"/>
      <c r="T122" s="7"/>
      <c r="U122" s="7"/>
      <c r="V122" s="7"/>
      <c r="W122" s="7"/>
      <c r="X122" s="7"/>
      <c r="Y122" s="7"/>
    </row>
    <row r="123" spans="1:25">
      <c r="A123" s="15">
        <v>119</v>
      </c>
      <c r="B123" s="15"/>
      <c r="C123" s="25" t="s">
        <v>206</v>
      </c>
      <c r="D123" s="26" t="s">
        <v>144</v>
      </c>
      <c r="E123" s="26" t="s">
        <v>407</v>
      </c>
      <c r="F123" s="27">
        <v>229127</v>
      </c>
      <c r="G123" s="28">
        <v>237216</v>
      </c>
      <c r="H123" s="29">
        <v>10770</v>
      </c>
      <c r="I123" s="30">
        <f t="shared" si="11"/>
        <v>251042</v>
      </c>
      <c r="J123" s="31">
        <f t="shared" si="12"/>
        <v>40</v>
      </c>
      <c r="K123" s="31">
        <f t="shared" si="8"/>
        <v>37</v>
      </c>
      <c r="L123" s="31">
        <f t="shared" si="13"/>
        <v>18</v>
      </c>
      <c r="M123" s="15">
        <f t="shared" si="14"/>
        <v>20</v>
      </c>
      <c r="N123" s="21">
        <f t="shared" si="15"/>
        <v>19452</v>
      </c>
      <c r="O123" s="32">
        <f>N123*VLOOKUP($K123,[1]สูตร!$A$5:$D$10,4)</f>
        <v>259295.16</v>
      </c>
      <c r="P123" s="23">
        <f>VLOOKUP(J123,[1]สูตร!$A$14:$D$19,4)</f>
        <v>0.2</v>
      </c>
      <c r="Q123" s="32">
        <f t="shared" si="9"/>
        <v>51859.032000000007</v>
      </c>
      <c r="R123" s="32">
        <f t="shared" si="10"/>
        <v>51859.032000000007</v>
      </c>
      <c r="S123" s="32"/>
      <c r="T123" s="7"/>
      <c r="U123" s="7"/>
      <c r="V123" s="7"/>
      <c r="W123" s="7"/>
      <c r="X123" s="7"/>
      <c r="Y123" s="7"/>
    </row>
    <row r="124" spans="1:25">
      <c r="A124" s="24">
        <v>120</v>
      </c>
      <c r="B124" s="24"/>
      <c r="C124" s="25" t="s">
        <v>206</v>
      </c>
      <c r="D124" s="26" t="s">
        <v>408</v>
      </c>
      <c r="E124" s="26" t="s">
        <v>400</v>
      </c>
      <c r="F124" s="36">
        <v>229538</v>
      </c>
      <c r="G124" s="37">
        <v>236436</v>
      </c>
      <c r="H124" s="38">
        <v>10620</v>
      </c>
      <c r="I124" s="30">
        <f t="shared" si="11"/>
        <v>251453</v>
      </c>
      <c r="J124" s="31">
        <f t="shared" si="12"/>
        <v>39</v>
      </c>
      <c r="K124" s="31">
        <f t="shared" si="8"/>
        <v>41</v>
      </c>
      <c r="L124" s="31">
        <f t="shared" si="13"/>
        <v>20</v>
      </c>
      <c r="M124" s="15">
        <f t="shared" si="14"/>
        <v>21</v>
      </c>
      <c r="N124" s="21">
        <f t="shared" si="15"/>
        <v>19756</v>
      </c>
      <c r="O124" s="32">
        <f>N124*VLOOKUP($K124,[1]สูตร!$A$5:$D$10,4)</f>
        <v>263347.48</v>
      </c>
      <c r="P124" s="23">
        <f>VLOOKUP(J124,[1]สูตร!$A$14:$D$19,4)</f>
        <v>0.2</v>
      </c>
      <c r="Q124" s="32">
        <f t="shared" si="9"/>
        <v>52669.495999999999</v>
      </c>
      <c r="R124" s="32">
        <f t="shared" si="10"/>
        <v>52669.495999999999</v>
      </c>
      <c r="S124" s="32"/>
      <c r="T124" s="7"/>
      <c r="U124" s="7"/>
      <c r="V124" s="7"/>
      <c r="W124" s="7"/>
      <c r="X124" s="7"/>
      <c r="Y124" s="7"/>
    </row>
    <row r="125" spans="1:25">
      <c r="A125" s="15">
        <v>121</v>
      </c>
      <c r="B125" s="15"/>
      <c r="C125" s="25" t="s">
        <v>206</v>
      </c>
      <c r="D125" s="26" t="s">
        <v>409</v>
      </c>
      <c r="E125" s="26" t="s">
        <v>240</v>
      </c>
      <c r="F125" s="36">
        <v>229404</v>
      </c>
      <c r="G125" s="37">
        <v>236387</v>
      </c>
      <c r="H125" s="38">
        <v>10590</v>
      </c>
      <c r="I125" s="30">
        <f t="shared" si="11"/>
        <v>251319</v>
      </c>
      <c r="J125" s="31">
        <f t="shared" si="12"/>
        <v>39</v>
      </c>
      <c r="K125" s="31">
        <f t="shared" si="8"/>
        <v>40</v>
      </c>
      <c r="L125" s="31">
        <f t="shared" si="13"/>
        <v>20</v>
      </c>
      <c r="M125" s="15">
        <f t="shared" si="14"/>
        <v>21</v>
      </c>
      <c r="N125" s="21">
        <f t="shared" si="15"/>
        <v>19701</v>
      </c>
      <c r="O125" s="32">
        <f>N125*VLOOKUP($K125,[1]สูตร!$A$5:$D$10,4)</f>
        <v>262614.33</v>
      </c>
      <c r="P125" s="23">
        <f>VLOOKUP(J125,[1]สูตร!$A$14:$D$19,4)</f>
        <v>0.2</v>
      </c>
      <c r="Q125" s="32">
        <f t="shared" si="9"/>
        <v>52522.866000000009</v>
      </c>
      <c r="R125" s="32">
        <f t="shared" si="10"/>
        <v>52522.866000000009</v>
      </c>
      <c r="S125" s="32"/>
      <c r="T125" s="7"/>
      <c r="U125" s="7"/>
      <c r="V125" s="7"/>
      <c r="W125" s="7"/>
      <c r="X125" s="7"/>
      <c r="Y125" s="7"/>
    </row>
    <row r="126" spans="1:25">
      <c r="A126" s="24">
        <v>122</v>
      </c>
      <c r="B126" s="77"/>
      <c r="C126" s="50" t="s">
        <v>7</v>
      </c>
      <c r="D126" s="51" t="s">
        <v>307</v>
      </c>
      <c r="E126" s="51" t="s">
        <v>329</v>
      </c>
      <c r="F126" s="52">
        <v>229970</v>
      </c>
      <c r="G126" s="37">
        <v>237132</v>
      </c>
      <c r="H126" s="38">
        <v>10590</v>
      </c>
      <c r="I126" s="30">
        <f t="shared" si="11"/>
        <v>251885</v>
      </c>
      <c r="J126" s="31">
        <f t="shared" si="12"/>
        <v>38</v>
      </c>
      <c r="K126" s="31">
        <f t="shared" si="8"/>
        <v>40</v>
      </c>
      <c r="L126" s="31">
        <f t="shared" si="13"/>
        <v>18</v>
      </c>
      <c r="M126" s="15">
        <f t="shared" si="14"/>
        <v>22</v>
      </c>
      <c r="N126" s="21">
        <f t="shared" si="15"/>
        <v>20292</v>
      </c>
      <c r="O126" s="32">
        <f>N126*VLOOKUP($K126,[1]สูตร!$A$5:$D$10,4)</f>
        <v>270492.36</v>
      </c>
      <c r="P126" s="23">
        <f>VLOOKUP(J126,[1]สูตร!$A$14:$D$19,4)</f>
        <v>0.2</v>
      </c>
      <c r="Q126" s="32">
        <f t="shared" si="9"/>
        <v>54098.472000000002</v>
      </c>
      <c r="R126" s="32">
        <f t="shared" si="10"/>
        <v>54098.472000000002</v>
      </c>
      <c r="S126" s="32"/>
      <c r="T126" s="7"/>
      <c r="U126" s="7"/>
      <c r="V126" s="7"/>
      <c r="W126" s="7"/>
      <c r="X126" s="7"/>
      <c r="Y126" s="7"/>
    </row>
    <row r="127" spans="1:25">
      <c r="A127" s="15">
        <v>123</v>
      </c>
      <c r="B127" s="15"/>
      <c r="C127" s="25" t="s">
        <v>206</v>
      </c>
      <c r="D127" s="26" t="s">
        <v>93</v>
      </c>
      <c r="E127" s="26" t="s">
        <v>410</v>
      </c>
      <c r="F127" s="28">
        <v>230009</v>
      </c>
      <c r="G127" s="36">
        <v>241806</v>
      </c>
      <c r="H127" s="39">
        <v>10590</v>
      </c>
      <c r="I127" s="30">
        <f t="shared" si="11"/>
        <v>251924</v>
      </c>
      <c r="J127" s="31">
        <f t="shared" si="12"/>
        <v>38</v>
      </c>
      <c r="K127" s="31">
        <f t="shared" si="8"/>
        <v>27</v>
      </c>
      <c r="L127" s="31">
        <f t="shared" si="13"/>
        <v>5</v>
      </c>
      <c r="M127" s="15">
        <f t="shared" si="14"/>
        <v>22</v>
      </c>
      <c r="N127" s="21">
        <f t="shared" si="15"/>
        <v>20292</v>
      </c>
      <c r="O127" s="32">
        <f>N127*VLOOKUP($K127,[1]สูตร!$A$5:$D$10,4)</f>
        <v>270492.36</v>
      </c>
      <c r="P127" s="23">
        <f>VLOOKUP(J127,[1]สูตร!$A$14:$D$19,4)</f>
        <v>0.2</v>
      </c>
      <c r="Q127" s="32">
        <f t="shared" si="9"/>
        <v>54098.472000000002</v>
      </c>
      <c r="R127" s="32">
        <f t="shared" si="10"/>
        <v>54098.472000000002</v>
      </c>
      <c r="S127" s="32"/>
      <c r="T127" s="7"/>
      <c r="U127" s="7"/>
      <c r="V127" s="7"/>
      <c r="W127" s="7"/>
      <c r="X127" s="7"/>
      <c r="Y127" s="7"/>
    </row>
    <row r="128" spans="1:25">
      <c r="A128" s="24">
        <v>124</v>
      </c>
      <c r="B128" s="24"/>
      <c r="C128" s="53" t="s">
        <v>12</v>
      </c>
      <c r="D128" s="53" t="s">
        <v>62</v>
      </c>
      <c r="E128" s="53" t="s">
        <v>411</v>
      </c>
      <c r="F128" s="28">
        <v>230031</v>
      </c>
      <c r="G128" s="49">
        <v>241488</v>
      </c>
      <c r="H128" s="29">
        <v>10590</v>
      </c>
      <c r="I128" s="30">
        <f t="shared" si="11"/>
        <v>251946</v>
      </c>
      <c r="J128" s="31">
        <f t="shared" si="12"/>
        <v>38</v>
      </c>
      <c r="K128" s="31">
        <f t="shared" si="8"/>
        <v>28</v>
      </c>
      <c r="L128" s="31">
        <f t="shared" si="13"/>
        <v>6</v>
      </c>
      <c r="M128" s="15">
        <f t="shared" si="14"/>
        <v>22</v>
      </c>
      <c r="N128" s="21">
        <f t="shared" si="15"/>
        <v>20292</v>
      </c>
      <c r="O128" s="32">
        <f>N128*VLOOKUP($K128,[1]สูตร!$A$5:$D$10,4)</f>
        <v>270492.36</v>
      </c>
      <c r="P128" s="23">
        <f>VLOOKUP(J128,[1]สูตร!$A$14:$D$19,4)</f>
        <v>0.2</v>
      </c>
      <c r="Q128" s="32">
        <f t="shared" si="9"/>
        <v>54098.472000000002</v>
      </c>
      <c r="R128" s="32">
        <f t="shared" si="10"/>
        <v>54098.472000000002</v>
      </c>
      <c r="S128" s="32"/>
      <c r="T128" s="7"/>
      <c r="U128" s="7"/>
      <c r="V128" s="7"/>
      <c r="W128" s="7"/>
      <c r="X128" s="7"/>
      <c r="Y128" s="7"/>
    </row>
  </sheetData>
  <mergeCells count="2">
    <mergeCell ref="A3:H3"/>
    <mergeCell ref="I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B738-2363-43E9-9F55-8F2CEF63E572}">
  <dimension ref="A1:E19"/>
  <sheetViews>
    <sheetView zoomScale="86" zoomScaleNormal="120" workbookViewId="0">
      <selection activeCell="F8" sqref="F8"/>
    </sheetView>
  </sheetViews>
  <sheetFormatPr defaultColWidth="9" defaultRowHeight="14.5"/>
  <cols>
    <col min="1" max="2" width="9" style="8"/>
    <col min="3" max="3" width="49.54296875" style="8" bestFit="1" customWidth="1"/>
    <col min="4" max="4" width="17.08984375" style="8" customWidth="1"/>
    <col min="5" max="16384" width="9" style="8"/>
  </cols>
  <sheetData>
    <row r="1" spans="1:5" ht="23">
      <c r="A1" s="54" t="s">
        <v>412</v>
      </c>
      <c r="B1" s="55"/>
      <c r="D1" s="56"/>
      <c r="E1" s="54"/>
    </row>
    <row r="2" spans="1:5" ht="23">
      <c r="A2" s="75" t="s">
        <v>413</v>
      </c>
      <c r="B2" s="75"/>
      <c r="C2" s="75"/>
      <c r="D2" s="57" t="s">
        <v>414</v>
      </c>
      <c r="E2" s="54"/>
    </row>
    <row r="3" spans="1:5" ht="23">
      <c r="A3" s="76" t="s">
        <v>415</v>
      </c>
      <c r="B3" s="76"/>
      <c r="C3" s="59" t="s">
        <v>416</v>
      </c>
      <c r="D3" s="60" t="s">
        <v>417</v>
      </c>
      <c r="E3" s="54"/>
    </row>
    <row r="4" spans="1:5" ht="23">
      <c r="A4" s="58">
        <v>0</v>
      </c>
      <c r="B4" s="58">
        <v>0.33</v>
      </c>
      <c r="C4" s="58" t="s">
        <v>418</v>
      </c>
      <c r="D4" s="61">
        <v>0</v>
      </c>
      <c r="E4" s="54"/>
    </row>
    <row r="5" spans="1:5" ht="23">
      <c r="A5" s="58">
        <v>0.33</v>
      </c>
      <c r="B5" s="58">
        <v>1</v>
      </c>
      <c r="C5" s="58" t="s">
        <v>419</v>
      </c>
      <c r="D5" s="62">
        <v>1</v>
      </c>
      <c r="E5" s="54"/>
    </row>
    <row r="6" spans="1:5" ht="23">
      <c r="A6" s="58">
        <f t="shared" ref="A6:A9" si="0">B5+1</f>
        <v>2</v>
      </c>
      <c r="B6" s="58">
        <v>2</v>
      </c>
      <c r="C6" s="58" t="s">
        <v>420</v>
      </c>
      <c r="D6" s="62">
        <v>3</v>
      </c>
      <c r="E6" s="54"/>
    </row>
    <row r="7" spans="1:5" ht="23">
      <c r="A7" s="58">
        <f t="shared" si="0"/>
        <v>3</v>
      </c>
      <c r="B7" s="58">
        <v>5</v>
      </c>
      <c r="C7" s="58" t="s">
        <v>421</v>
      </c>
      <c r="D7" s="62">
        <v>6</v>
      </c>
      <c r="E7" s="54"/>
    </row>
    <row r="8" spans="1:5" ht="23">
      <c r="A8" s="58">
        <f t="shared" si="0"/>
        <v>6</v>
      </c>
      <c r="B8" s="58">
        <v>9</v>
      </c>
      <c r="C8" s="58" t="s">
        <v>422</v>
      </c>
      <c r="D8" s="62">
        <v>8</v>
      </c>
      <c r="E8" s="54"/>
    </row>
    <row r="9" spans="1:5" ht="23">
      <c r="A9" s="58">
        <f t="shared" si="0"/>
        <v>10</v>
      </c>
      <c r="B9" s="58">
        <v>19</v>
      </c>
      <c r="C9" s="58" t="s">
        <v>423</v>
      </c>
      <c r="D9" s="62">
        <v>10</v>
      </c>
      <c r="E9" s="54"/>
    </row>
    <row r="10" spans="1:5" ht="23">
      <c r="A10" s="58">
        <v>20</v>
      </c>
      <c r="B10" s="58"/>
      <c r="C10" s="58" t="s">
        <v>424</v>
      </c>
      <c r="D10" s="62">
        <v>13.33</v>
      </c>
      <c r="E10" s="54"/>
    </row>
    <row r="11" spans="1:5" ht="23">
      <c r="A11" s="55"/>
      <c r="B11" s="55"/>
      <c r="C11" s="56"/>
      <c r="D11" s="56"/>
      <c r="E11" s="56"/>
    </row>
    <row r="12" spans="1:5" ht="23">
      <c r="A12" s="63" t="s">
        <v>425</v>
      </c>
      <c r="B12" s="64"/>
      <c r="C12" s="65"/>
      <c r="D12" s="66"/>
    </row>
    <row r="13" spans="1:5" ht="23">
      <c r="A13" s="67" t="s">
        <v>426</v>
      </c>
      <c r="B13" s="68" t="s">
        <v>427</v>
      </c>
      <c r="C13" s="67" t="s">
        <v>416</v>
      </c>
      <c r="D13" s="69" t="s">
        <v>428</v>
      </c>
    </row>
    <row r="14" spans="1:5" ht="23">
      <c r="A14" s="58">
        <v>1</v>
      </c>
      <c r="B14" s="58">
        <v>30</v>
      </c>
      <c r="C14" s="58" t="s">
        <v>429</v>
      </c>
      <c r="D14" s="70">
        <v>0</v>
      </c>
    </row>
    <row r="15" spans="1:5" ht="23">
      <c r="A15" s="58">
        <v>31</v>
      </c>
      <c r="B15" s="58">
        <v>40</v>
      </c>
      <c r="C15" s="58" t="s">
        <v>430</v>
      </c>
      <c r="D15" s="71">
        <v>0.2</v>
      </c>
    </row>
    <row r="16" spans="1:5" ht="23">
      <c r="A16" s="58">
        <v>41</v>
      </c>
      <c r="B16" s="58">
        <v>45</v>
      </c>
      <c r="C16" s="58" t="s">
        <v>431</v>
      </c>
      <c r="D16" s="70">
        <v>0.5</v>
      </c>
    </row>
    <row r="17" spans="1:4" ht="23">
      <c r="A17" s="58">
        <v>46</v>
      </c>
      <c r="B17" s="58">
        <v>50</v>
      </c>
      <c r="C17" s="58" t="s">
        <v>432</v>
      </c>
      <c r="D17" s="70">
        <v>0.6</v>
      </c>
    </row>
    <row r="18" spans="1:4" ht="23">
      <c r="A18" s="58">
        <v>51</v>
      </c>
      <c r="B18" s="58">
        <v>55</v>
      </c>
      <c r="C18" s="58" t="s">
        <v>433</v>
      </c>
      <c r="D18" s="70">
        <v>0.9</v>
      </c>
    </row>
    <row r="19" spans="1:4" ht="23">
      <c r="A19" s="58">
        <v>55</v>
      </c>
      <c r="B19" s="58">
        <v>60</v>
      </c>
      <c r="C19" s="58" t="s">
        <v>434</v>
      </c>
      <c r="D19" s="70">
        <v>1</v>
      </c>
    </row>
  </sheetData>
  <mergeCells count="2">
    <mergeCell ref="A2:C2"/>
    <mergeCell ref="A3:B3"/>
  </mergeCells>
  <pageMargins left="0.72" right="0.12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ข้อมูลพนักงาน</vt:lpstr>
      <vt:lpstr>ผลประโยช์นพนักงาน</vt:lpstr>
      <vt:lpstr>สูตร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dcterms:created xsi:type="dcterms:W3CDTF">2026-07-13T04:47:26Z</dcterms:created>
  <dcterms:modified xsi:type="dcterms:W3CDTF">2026-08-19T15:11:42Z</dcterms:modified>
</cp:coreProperties>
</file>