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richai\source_code\serichai-web-portal\"/>
    </mc:Choice>
  </mc:AlternateContent>
  <xr:revisionPtr revIDLastSave="0" documentId="8_{7BE3961C-8F11-4000-A944-0535EAA7F77F}" xr6:coauthVersionLast="47" xr6:coauthVersionMax="47" xr10:uidLastSave="{00000000-0000-0000-0000-000000000000}"/>
  <bookViews>
    <workbookView xWindow="-110" yWindow="-110" windowWidth="19420" windowHeight="11500" xr2:uid="{AE5A13EE-63BA-48F5-B9C3-7E490D79EB86}"/>
  </bookViews>
  <sheets>
    <sheet name="ผลสรุปโบนัสปี_68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2" l="1"/>
  <c r="Z5" i="2" s="1"/>
  <c r="AA5" i="2" s="1"/>
  <c r="AC5" i="2" s="1"/>
</calcChain>
</file>

<file path=xl/sharedStrings.xml><?xml version="1.0" encoding="utf-8"?>
<sst xmlns="http://schemas.openxmlformats.org/spreadsheetml/2006/main" count="40" uniqueCount="36">
  <si>
    <t>บริษัท ช. ไพศาล จำกัด</t>
  </si>
  <si>
    <t>ผลสรุปโบนัสผลปี  2568 ( ตั้งแต่ 1 ม.ค. - 31 ธ.ค. 2568)</t>
  </si>
  <si>
    <t>ข้อมูลตั้งต้น</t>
  </si>
  <si>
    <t>แก้ไขได้</t>
  </si>
  <si>
    <t>สูตร Excel</t>
  </si>
  <si>
    <t>กรุณาเติมค่า</t>
  </si>
  <si>
    <t>ลำดับ</t>
  </si>
  <si>
    <t>คำนำหน้า</t>
  </si>
  <si>
    <t>ชื่อ</t>
  </si>
  <si>
    <t>สกุล</t>
  </si>
  <si>
    <t>อัตราค่าแรง</t>
  </si>
  <si>
    <t>เริ่มทำงาน</t>
  </si>
  <si>
    <t>หมายเหตุ</t>
  </si>
  <si>
    <t>วันทำงาน</t>
  </si>
  <si>
    <t>รวม OT</t>
  </si>
  <si>
    <t>รวมวันหยุด</t>
  </si>
  <si>
    <t>grade68</t>
  </si>
  <si>
    <t>grade67</t>
  </si>
  <si>
    <t>grade</t>
  </si>
  <si>
    <t>ลากิจ</t>
  </si>
  <si>
    <t>ลาป่วย</t>
  </si>
  <si>
    <t>กิจ+ลากิจพิเศษ</t>
  </si>
  <si>
    <t>ขาดงาน</t>
  </si>
  <si>
    <t>ลาพักผ่อน</t>
  </si>
  <si>
    <t>คะแนนลากิจ+กิจพิเศษ</t>
  </si>
  <si>
    <t>คะแนนลาป่วย</t>
  </si>
  <si>
    <t>คะแนนขาดงาน</t>
  </si>
  <si>
    <t>คะแนนลาพักร้อน</t>
  </si>
  <si>
    <t>คะแนนวันทำงานทั้งหมด</t>
  </si>
  <si>
    <t>คะแนน OT</t>
  </si>
  <si>
    <t>คะแนนทั้งหมด</t>
  </si>
  <si>
    <t>Days</t>
  </si>
  <si>
    <t>Bonus</t>
  </si>
  <si>
    <t>วัน</t>
  </si>
  <si>
    <t>Bonus ที่ได้</t>
  </si>
  <si>
    <t>Bonus ปีที่แล้ว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</si>
</sst>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/>
    <xf numFmtId="0" fontId="1" fillId="5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A65F-38A3-49E3-9C4F-5860AE8EAE38}">
  <dimension ref="A1:AE6"/>
  <sheetViews>
    <sheetView tabSelected="1" topLeftCell="L1" workbookViewId="0">
      <selection activeCell="AC8" sqref="AC8"/>
    </sheetView>
  </sheetViews>
  <sheetFormatPr defaultRowHeight="14.5" x14ac:dyDescent="0.35"/>
  <cols>
    <col min="2" max="2" width="9.6328125" bestFit="1" customWidth="1"/>
    <col min="3" max="3" width="9.08984375" bestFit="1" customWidth="1"/>
    <col min="4" max="4" width="14" bestFit="1" customWidth="1"/>
    <col min="5" max="5" width="11.54296875" bestFit="1" customWidth="1"/>
    <col min="6" max="6" width="10.08984375" bestFit="1" customWidth="1"/>
    <col min="7" max="7" width="18.90625" bestFit="1" customWidth="1"/>
    <col min="8" max="8" width="9.36328125" bestFit="1" customWidth="1"/>
    <col min="9" max="9" width="7.26953125" bestFit="1" customWidth="1"/>
    <col min="10" max="10" width="11" bestFit="1" customWidth="1"/>
    <col min="11" max="12" width="7.54296875" bestFit="1" customWidth="1"/>
    <col min="13" max="13" width="5.54296875" bestFit="1" customWidth="1"/>
    <col min="14" max="14" width="5.81640625" bestFit="1" customWidth="1"/>
    <col min="15" max="15" width="7" bestFit="1" customWidth="1"/>
    <col min="16" max="26" width="7.1796875" customWidth="1"/>
    <col min="27" max="27" width="8.81640625" bestFit="1" customWidth="1"/>
    <col min="28" max="28" width="10.90625" bestFit="1" customWidth="1"/>
    <col min="29" max="29" width="10.36328125" bestFit="1" customWidth="1"/>
    <col min="30" max="30" width="13" bestFit="1" customWidth="1"/>
    <col min="31" max="31" width="19" bestFit="1" customWidth="1"/>
  </cols>
  <sheetData>
    <row r="1" spans="1:31" ht="20" customHeight="1" x14ac:dyDescent="0.55000000000000004">
      <c r="A1" s="1" t="s">
        <v>0</v>
      </c>
    </row>
    <row r="2" spans="1:31" ht="20" customHeight="1" x14ac:dyDescent="0.55000000000000004">
      <c r="A2" s="1" t="s">
        <v>1</v>
      </c>
    </row>
    <row r="3" spans="1:31" ht="20" customHeight="1" thickBot="1" x14ac:dyDescent="0.4">
      <c r="A3" s="2" t="s">
        <v>2</v>
      </c>
      <c r="B3" s="2"/>
      <c r="C3" s="2"/>
      <c r="D3" s="2"/>
      <c r="E3" s="3" t="s">
        <v>3</v>
      </c>
      <c r="F3" s="2" t="s">
        <v>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" t="s">
        <v>3</v>
      </c>
      <c r="T3" s="4"/>
      <c r="U3" s="4"/>
      <c r="V3" s="4"/>
      <c r="W3" s="4"/>
      <c r="X3" s="4"/>
      <c r="Y3" s="5" t="s">
        <v>4</v>
      </c>
      <c r="Z3" s="5"/>
      <c r="AA3" s="5"/>
      <c r="AB3" s="6" t="s">
        <v>5</v>
      </c>
      <c r="AC3" s="7" t="s">
        <v>4</v>
      </c>
    </row>
    <row r="4" spans="1:31" ht="20" customHeight="1" thickBot="1" x14ac:dyDescent="0.4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 t="s">
        <v>21</v>
      </c>
      <c r="Q4" s="8" t="s">
        <v>22</v>
      </c>
      <c r="R4" s="8" t="s">
        <v>23</v>
      </c>
      <c r="S4" s="8" t="s">
        <v>24</v>
      </c>
      <c r="T4" s="8" t="s">
        <v>25</v>
      </c>
      <c r="U4" s="8" t="s">
        <v>26</v>
      </c>
      <c r="V4" s="8" t="s">
        <v>27</v>
      </c>
      <c r="W4" s="8" t="s">
        <v>28</v>
      </c>
      <c r="X4" s="8" t="s">
        <v>29</v>
      </c>
      <c r="Y4" s="8" t="s">
        <v>30</v>
      </c>
      <c r="Z4" s="8" t="s">
        <v>31</v>
      </c>
      <c r="AA4" s="8" t="s">
        <v>32</v>
      </c>
      <c r="AB4" s="8" t="s">
        <v>33</v>
      </c>
      <c r="AC4" s="8" t="s">
        <v>34</v>
      </c>
      <c r="AD4" s="8" t="s">
        <v>35</v>
      </c>
      <c r="AE4" s="8" t="s">
        <v>12</v>
      </c>
    </row>
    <row r="5" spans="1:31" x14ac:dyDescent="0.35">
      <c r="F5" s="9"/>
      <c r="Y5">
        <f>SUM($M$5,$S$5:$X$5)</f>
        <v>0</v>
      </c>
      <c r="Z5">
        <f>IF($Y$5 * 30 / 12 &lt;= 0, 0, $Y$5 * 30 / 12)</f>
        <v>0</v>
      </c>
      <c r="AA5">
        <f>$Z$5 * $E$5</f>
        <v>0</v>
      </c>
      <c r="AC5">
        <f>ROUND($AB$5 * $AA$5 / 30, 0)</f>
        <v>0</v>
      </c>
    </row>
    <row r="6" spans="1:31" ht="20" customHeight="1" x14ac:dyDescent="0.35"/>
  </sheetData>
  <mergeCells count="4">
    <mergeCell ref="A3:D3"/>
    <mergeCell ref="F3:R3"/>
    <mergeCell ref="S3:X3"/>
    <mergeCell ref="Y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ผลสรุปโบนัสปี_68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Jirakrit Yodvanich</dc:creator>
  <cp:lastModifiedBy>Jirakrit Yodvanich</cp:lastModifiedBy>
  <dcterms:created xsi:type="dcterms:W3CDTF">2026-08-23T09:33:16Z</dcterms:created>
  <dcterms:modified xsi:type="dcterms:W3CDTF">2026-08-23T09:35:09Z</dcterms:modified>
</cp:coreProperties>
</file>