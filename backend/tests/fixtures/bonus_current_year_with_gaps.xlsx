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ผลประเมินปี_68" sheetId="1" state="visible" r:id="rId1"/>
    <sheet name="วันทำงานปี_68" sheetId="2" state="visible" r:id="rId2"/>
    <sheet name="วันลาปี_68" sheetId="3" state="visible" r:id="rId3"/>
    <sheet name="วันลาเงินเดือน_6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mmmm\ bb"/>
    <numFmt numFmtId="166" formatCode="[h]:mm"/>
    <numFmt numFmtId="167" formatCode="_-* #,##0_-;\-* #,##0_-;_-* &quot;-&quot;??_-;_-@_-"/>
    <numFmt numFmtId="168" formatCode="_-* #,##0.0_-;\-* #,##0.0_-;_-* &quot;-&quot;??_-;_-@_-"/>
    <numFmt numFmtId="169" formatCode="mmmm"/>
    <numFmt numFmtId="170" formatCode="_-* #,##0.00_-;\-* #,##0.00_-;_-* &quot;-&quot;??_-;_-@_-"/>
    <numFmt numFmtId="171" formatCode="mmm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ngsana New"/>
      <family val="1"/>
      <b val="1"/>
      <sz val="18"/>
    </font>
    <font>
      <name val="Angsana New"/>
      <family val="1"/>
      <sz val="14"/>
    </font>
    <font>
      <name val="Angsana New"/>
      <family val="1"/>
      <color theme="1"/>
      <sz val="14"/>
    </font>
    <font>
      <name val="Cordia New"/>
      <family val="2"/>
      <sz val="14"/>
    </font>
    <font>
      <name val="Angsana New"/>
      <family val="1"/>
      <b val="1"/>
      <sz val="14"/>
    </font>
    <font>
      <name val="Angsana New"/>
      <family val="1"/>
      <b val="1"/>
      <color indexed="8"/>
      <sz val="14"/>
    </font>
    <font>
      <name val="Angsana New"/>
      <family val="1"/>
      <b val="1"/>
      <color indexed="8"/>
      <sz val="12"/>
    </font>
    <font>
      <name val="Angsana New"/>
      <family val="1"/>
      <b val="1"/>
      <sz val="12"/>
    </font>
    <font>
      <name val="Arial"/>
      <family val="2"/>
      <sz val="10"/>
    </font>
    <font>
      <name val="Angsana New"/>
      <family val="1"/>
      <color indexed="8"/>
      <sz val="14"/>
    </font>
    <font>
      <name val="Angsana New"/>
      <charset val="222"/>
      <family val="1"/>
      <b val="1"/>
      <sz val="16"/>
    </font>
    <font>
      <name val="Angsana New"/>
      <family val="1"/>
      <sz val="16"/>
    </font>
    <font>
      <name val="Calibri"/>
      <family val="2"/>
      <sz val="11"/>
      <scheme val="minor"/>
    </font>
    <font>
      <name val="Microsoft Sans Serif"/>
      <charset val="222"/>
      <family val="2"/>
      <color theme="1"/>
      <sz val="10"/>
    </font>
    <font>
      <name val="Microsoft Sans Serif"/>
      <charset val="222"/>
      <family val="2"/>
      <color indexed="8"/>
      <sz val="10"/>
    </font>
    <font>
      <name val="Microsoft Sans Serif"/>
      <charset val="222"/>
      <family val="2"/>
      <color indexed="30"/>
      <sz val="14"/>
    </font>
    <font>
      <name val="Microsoft Sans Serif"/>
      <charset val="222"/>
      <family val="2"/>
      <color indexed="30"/>
      <sz val="10"/>
    </font>
    <font>
      <name val="Microsoft Sans Serif"/>
      <charset val="222"/>
      <family val="2"/>
      <b val="1"/>
      <color indexed="8"/>
      <sz val="10"/>
    </font>
    <font>
      <name val="Angsana New"/>
      <family val="1"/>
      <color rgb="FFFF0000"/>
      <sz val="14"/>
    </font>
    <font>
      <name val="Angsana New"/>
      <family val="1"/>
      <color rgb="FFFF0000"/>
      <sz val="18"/>
    </font>
    <font>
      <name val="Angsana New"/>
      <family val="1"/>
      <color indexed="30"/>
      <sz val="14"/>
    </font>
    <font>
      <name val="Angsana New"/>
      <family val="1"/>
      <b val="1"/>
      <color theme="1"/>
      <sz val="14"/>
    </font>
    <font>
      <name val="Calibri"/>
      <charset val="222"/>
      <family val="2"/>
      <color theme="1"/>
      <sz val="11"/>
      <scheme val="minor"/>
    </font>
    <font>
      <name val="AngsanaUPC"/>
      <charset val="222"/>
      <family val="2"/>
      <color theme="1"/>
      <sz val="14"/>
    </font>
    <font>
      <name val="AngsanaUPC"/>
      <charset val="222"/>
      <family val="2"/>
      <color rgb="FFFFFF00"/>
      <sz val="14"/>
    </font>
    <font>
      <name val="AngsanaUPC"/>
      <charset val="222"/>
      <family val="1"/>
      <b val="1"/>
      <color rgb="FFFF0000"/>
      <sz val="14"/>
    </font>
    <font>
      <name val="Tahoma"/>
      <family val="2"/>
      <color theme="1"/>
      <sz val="11"/>
    </font>
    <font>
      <name val="Tahoma"/>
      <family val="2"/>
      <color theme="1"/>
      <sz val="11"/>
    </font>
    <font>
      <name val="Segoe UI"/>
      <family val="2"/>
      <color rgb="FF0F111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dotted">
        <color theme="0" tint="-0.499984740745262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1" fillId="0" borderId="0"/>
    <xf numFmtId="0" fontId="5" fillId="0" borderId="0"/>
    <xf numFmtId="0" fontId="10" fillId="0" borderId="0"/>
    <xf numFmtId="0" fontId="1" fillId="0" borderId="0"/>
    <xf numFmtId="0" fontId="1" fillId="0" borderId="0"/>
    <xf numFmtId="0" fontId="15" fillId="0" borderId="0"/>
    <xf numFmtId="170" fontId="16" fillId="0" borderId="0"/>
    <xf numFmtId="0" fontId="1" fillId="0" borderId="0"/>
    <xf numFmtId="0" fontId="24" fillId="0" borderId="0"/>
    <xf numFmtId="170" fontId="24" fillId="0" borderId="0"/>
    <xf numFmtId="170" fontId="1" fillId="0" borderId="0"/>
    <xf numFmtId="0" fontId="29" fillId="0" borderId="0"/>
    <xf numFmtId="170" fontId="29" fillId="0" borderId="0"/>
  </cellStyleXfs>
  <cellXfs count="2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8" fillId="0" borderId="2" applyAlignment="1" pivotButton="0" quotePrefix="0" xfId="1">
      <alignment horizontal="center"/>
    </xf>
    <xf numFmtId="0" fontId="8" fillId="0" borderId="3" applyAlignment="1" pivotButton="0" quotePrefix="0" xfId="1">
      <alignment horizontal="center"/>
    </xf>
    <xf numFmtId="0" fontId="9" fillId="0" borderId="3" applyAlignment="1" pivotButton="0" quotePrefix="0" xfId="0">
      <alignment horizontal="center"/>
    </xf>
    <xf numFmtId="0" fontId="9" fillId="0" borderId="3" applyAlignment="1" pivotButton="0" quotePrefix="0" xfId="1">
      <alignment horizontal="center"/>
    </xf>
    <xf numFmtId="14" fontId="6" fillId="0" borderId="3" applyAlignment="1" pivotButton="0" quotePrefix="0" xfId="1">
      <alignment horizontal="center"/>
    </xf>
    <xf numFmtId="0" fontId="3" fillId="0" borderId="4" applyAlignment="1" pivotButton="0" quotePrefix="0" xfId="2">
      <alignment horizontal="center" vertical="center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3" fontId="3" fillId="0" borderId="7" applyAlignment="1" pivotButton="0" quotePrefix="0" xfId="3">
      <alignment horizontal="center" vertical="center"/>
    </xf>
    <xf numFmtId="14" fontId="4" fillId="0" borderId="8" applyAlignment="1" pivotButton="0" quotePrefix="0" xfId="0">
      <alignment horizontal="center"/>
    </xf>
    <xf numFmtId="0" fontId="3" fillId="0" borderId="9" applyAlignment="1" pivotButton="0" quotePrefix="0" xfId="1">
      <alignment horizontal="center"/>
    </xf>
    <xf numFmtId="0" fontId="3" fillId="0" borderId="10" applyAlignment="1" pivotButton="0" quotePrefix="0" xfId="3">
      <alignment horizontal="center" vertical="center"/>
    </xf>
    <xf numFmtId="0" fontId="3" fillId="0" borderId="11" applyAlignment="1" pivotButton="0" quotePrefix="0" xfId="3">
      <alignment horizontal="center" vertical="center"/>
    </xf>
    <xf numFmtId="0" fontId="3" fillId="0" borderId="12" applyAlignment="1" pivotButton="0" quotePrefix="0" xfId="3">
      <alignment horizontal="center" vertical="center"/>
    </xf>
    <xf numFmtId="0" fontId="4" fillId="0" borderId="13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3" fillId="0" borderId="14" applyAlignment="1" pivotButton="0" quotePrefix="0" xfId="3">
      <alignment horizontal="center" vertical="center"/>
    </xf>
    <xf numFmtId="0" fontId="11" fillId="0" borderId="13" applyAlignment="1" pivotButton="0" quotePrefix="0" xfId="1">
      <alignment horizontal="center"/>
    </xf>
    <xf numFmtId="0" fontId="11" fillId="0" borderId="8" applyAlignment="1" pivotButton="0" quotePrefix="0" xfId="1">
      <alignment horizontal="center"/>
    </xf>
    <xf numFmtId="0" fontId="11" fillId="0" borderId="15" applyAlignment="1" pivotButton="0" quotePrefix="0" xfId="1">
      <alignment horizontal="center"/>
    </xf>
    <xf numFmtId="0" fontId="3" fillId="0" borderId="13" applyAlignment="1" pivotButton="0" quotePrefix="0" xfId="1">
      <alignment horizontal="center"/>
    </xf>
    <xf numFmtId="0" fontId="3" fillId="0" borderId="8" applyAlignment="1" pivotButton="0" quotePrefix="0" xfId="1">
      <alignment horizontal="center"/>
    </xf>
    <xf numFmtId="0" fontId="3" fillId="0" borderId="15" applyAlignment="1" pivotButton="0" quotePrefix="0" xfId="1">
      <alignment horizontal="center"/>
    </xf>
    <xf numFmtId="0" fontId="3" fillId="0" borderId="12" applyAlignment="1" pivotButton="0" quotePrefix="0" xfId="1">
      <alignment horizontal="center"/>
    </xf>
    <xf numFmtId="0" fontId="4" fillId="0" borderId="8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4" fillId="0" borderId="18" applyAlignment="1" pivotButton="0" quotePrefix="0" xfId="0">
      <alignment horizontal="left"/>
    </xf>
    <xf numFmtId="3" fontId="3" fillId="0" borderId="19" applyAlignment="1" pivotButton="0" quotePrefix="0" xfId="3">
      <alignment horizontal="center" vertical="center"/>
    </xf>
    <xf numFmtId="14" fontId="4" fillId="0" borderId="10" applyAlignment="1" pivotButton="0" quotePrefix="0" xfId="0">
      <alignment horizontal="center"/>
    </xf>
    <xf numFmtId="0" fontId="3" fillId="0" borderId="20" applyAlignment="1" pivotButton="0" quotePrefix="0" xfId="1">
      <alignment horizontal="center"/>
    </xf>
    <xf numFmtId="0" fontId="3" fillId="0" borderId="16" applyAlignment="1" pivotButton="0" quotePrefix="0" xfId="3">
      <alignment horizontal="center" vertical="center"/>
    </xf>
    <xf numFmtId="0" fontId="3" fillId="0" borderId="21" applyAlignment="1" pivotButton="0" quotePrefix="0" xfId="3">
      <alignment horizontal="center" vertical="center"/>
    </xf>
    <xf numFmtId="0" fontId="4" fillId="0" borderId="22" applyAlignment="1" pivotButton="0" quotePrefix="0" xfId="0">
      <alignment horizontal="center"/>
    </xf>
    <xf numFmtId="0" fontId="3" fillId="0" borderId="9" applyAlignment="1" pivotButton="0" quotePrefix="0" xfId="3">
      <alignment horizontal="center" vertical="center"/>
    </xf>
    <xf numFmtId="0" fontId="3" fillId="0" borderId="17" applyAlignment="1" pivotButton="0" quotePrefix="0" xfId="3">
      <alignment horizontal="center" vertical="center"/>
    </xf>
    <xf numFmtId="0" fontId="11" fillId="0" borderId="21" applyAlignment="1" pivotButton="0" quotePrefix="0" xfId="1">
      <alignment horizontal="center"/>
    </xf>
    <xf numFmtId="0" fontId="11" fillId="0" borderId="11" applyAlignment="1" pivotButton="0" quotePrefix="0" xfId="1">
      <alignment horizontal="center"/>
    </xf>
    <xf numFmtId="0" fontId="11" fillId="0" borderId="12" applyAlignment="1" pivotButton="0" quotePrefix="0" xfId="1">
      <alignment horizontal="center"/>
    </xf>
    <xf numFmtId="0" fontId="11" fillId="0" borderId="14" applyAlignment="1" pivotButton="0" quotePrefix="0" xfId="1">
      <alignment horizontal="center"/>
    </xf>
    <xf numFmtId="0" fontId="11" fillId="0" borderId="10" applyAlignment="1" pivotButton="0" quotePrefix="0" xfId="1">
      <alignment horizontal="center"/>
    </xf>
    <xf numFmtId="0" fontId="11" fillId="0" borderId="22" applyAlignment="1" pivotButton="0" quotePrefix="0" xfId="1">
      <alignment horizontal="center"/>
    </xf>
    <xf numFmtId="0" fontId="3" fillId="0" borderId="14" applyAlignment="1" pivotButton="0" quotePrefix="0" xfId="1">
      <alignment horizontal="center"/>
    </xf>
    <xf numFmtId="0" fontId="3" fillId="0" borderId="10" applyAlignment="1" pivotButton="0" quotePrefix="0" xfId="1">
      <alignment horizontal="center"/>
    </xf>
    <xf numFmtId="0" fontId="3" fillId="0" borderId="22" applyAlignment="1" pivotButton="0" quotePrefix="0" xfId="1">
      <alignment horizontal="center"/>
    </xf>
    <xf numFmtId="0" fontId="4" fillId="0" borderId="14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14" fontId="4" fillId="0" borderId="11" applyAlignment="1" pivotButton="0" quotePrefix="0" xfId="0">
      <alignment horizontal="center"/>
    </xf>
    <xf numFmtId="0" fontId="3" fillId="0" borderId="22" applyAlignment="1" pivotButton="0" quotePrefix="0" xfId="3">
      <alignment horizontal="center" vertical="center"/>
    </xf>
    <xf numFmtId="0" fontId="11" fillId="0" borderId="14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left"/>
    </xf>
    <xf numFmtId="49" fontId="3" fillId="0" borderId="7" applyAlignment="1" pivotButton="0" quotePrefix="0" xfId="2">
      <alignment horizontal="center" vertical="center"/>
    </xf>
    <xf numFmtId="0" fontId="3" fillId="0" borderId="14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14" applyAlignment="1" pivotButton="0" quotePrefix="0" xfId="2">
      <alignment horizontal="center" vertical="center"/>
    </xf>
    <xf numFmtId="0" fontId="3" fillId="0" borderId="22" applyAlignment="1" pivotButton="0" quotePrefix="0" xfId="2">
      <alignment horizontal="center" vertical="center"/>
    </xf>
    <xf numFmtId="0" fontId="3" fillId="0" borderId="10" applyAlignment="1" pivotButton="0" quotePrefix="0" xfId="2">
      <alignment horizontal="center" vertic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left"/>
    </xf>
    <xf numFmtId="49" fontId="3" fillId="0" borderId="19" applyAlignment="1" pivotButton="0" quotePrefix="0" xfId="2">
      <alignment horizontal="center" vertical="center"/>
    </xf>
    <xf numFmtId="0" fontId="3" fillId="0" borderId="24" applyAlignment="1" pivotButton="0" quotePrefix="0" xfId="3">
      <alignment horizontal="center" vertical="center"/>
    </xf>
    <xf numFmtId="0" fontId="3" fillId="0" borderId="25" applyAlignment="1" pivotButton="0" quotePrefix="0" xfId="3">
      <alignment horizontal="center" vertical="center"/>
    </xf>
    <xf numFmtId="0" fontId="4" fillId="0" borderId="21" applyAlignment="1" pivotButton="0" quotePrefix="0" xfId="0">
      <alignment horizontal="center"/>
    </xf>
    <xf numFmtId="14" fontId="4" fillId="0" borderId="16" applyAlignment="1" pivotButton="0" quotePrefix="0" xfId="0">
      <alignment horizontal="center"/>
    </xf>
    <xf numFmtId="49" fontId="3" fillId="0" borderId="27" applyAlignment="1" pivotButton="0" quotePrefix="0" xfId="2">
      <alignment horizontal="center" vertical="center"/>
    </xf>
    <xf numFmtId="0" fontId="4" fillId="0" borderId="28" applyAlignment="1" pivotButton="0" quotePrefix="0" xfId="0">
      <alignment horizontal="center"/>
    </xf>
    <xf numFmtId="0" fontId="3" fillId="0" borderId="21" applyAlignment="1" pivotButton="0" quotePrefix="0" xfId="2">
      <alignment horizontal="center" vertical="center"/>
    </xf>
    <xf numFmtId="0" fontId="3" fillId="0" borderId="12" applyAlignment="1" pivotButton="0" quotePrefix="0" xfId="2">
      <alignment horizontal="center" vertical="center"/>
    </xf>
    <xf numFmtId="0" fontId="3" fillId="0" borderId="11" applyAlignment="1" pivotButton="0" quotePrefix="0" xfId="2">
      <alignment horizontal="center" vertical="center"/>
    </xf>
    <xf numFmtId="0" fontId="3" fillId="0" borderId="25" applyAlignment="1" pivotButton="0" quotePrefix="0" xfId="1">
      <alignment horizontal="center"/>
    </xf>
    <xf numFmtId="14" fontId="4" fillId="0" borderId="24" applyAlignment="1" pivotButton="0" quotePrefix="0" xfId="0">
      <alignment horizontal="center"/>
    </xf>
    <xf numFmtId="0" fontId="3" fillId="0" borderId="9" applyAlignment="1" pivotButton="0" quotePrefix="0" xfId="2">
      <alignment horizontal="center" vertical="center"/>
    </xf>
    <xf numFmtId="0" fontId="3" fillId="0" borderId="17" applyAlignment="1" pivotButton="0" quotePrefix="0" xfId="2">
      <alignment horizontal="center" vertical="center"/>
    </xf>
    <xf numFmtId="0" fontId="3" fillId="0" borderId="16" applyAlignment="1" pivotButton="0" quotePrefix="0" xfId="2">
      <alignment horizontal="center" vertical="center"/>
    </xf>
    <xf numFmtId="0" fontId="4" fillId="0" borderId="9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17" applyAlignment="1" pivotButton="0" quotePrefix="0" xfId="1">
      <alignment horizontal="center"/>
    </xf>
    <xf numFmtId="0" fontId="3" fillId="0" borderId="16" applyAlignment="1" pivotButton="0" quotePrefix="0" xfId="1">
      <alignment horizontal="center"/>
    </xf>
    <xf numFmtId="0" fontId="3" fillId="0" borderId="19" applyAlignment="1" pivotButton="0" quotePrefix="0" xfId="0">
      <alignment horizontal="center"/>
    </xf>
    <xf numFmtId="0" fontId="3" fillId="0" borderId="19" applyAlignment="1" pivotButton="0" quotePrefix="0" xfId="2">
      <alignment horizontal="center" vertical="center"/>
    </xf>
    <xf numFmtId="0" fontId="3" fillId="0" borderId="29" applyAlignment="1" pivotButton="0" quotePrefix="0" xfId="2">
      <alignment horizontal="center" vertical="center"/>
    </xf>
    <xf numFmtId="0" fontId="3" fillId="0" borderId="7" applyAlignment="1" pivotButton="0" quotePrefix="0" xfId="2">
      <alignment horizontal="center" vertical="center"/>
    </xf>
    <xf numFmtId="0" fontId="4" fillId="0" borderId="30" applyAlignment="1" pivotButton="0" quotePrefix="0" xfId="0">
      <alignment horizontal="center"/>
    </xf>
    <xf numFmtId="49" fontId="3" fillId="0" borderId="29" applyAlignment="1" pivotButton="0" quotePrefix="0" xfId="2">
      <alignment horizontal="center" vertical="center"/>
    </xf>
    <xf numFmtId="0" fontId="3" fillId="0" borderId="19" applyAlignment="1" pivotButton="0" quotePrefix="0" xfId="1">
      <alignment horizontal="center"/>
    </xf>
    <xf numFmtId="0" fontId="3" fillId="0" borderId="21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21" applyAlignment="1" pivotButton="0" quotePrefix="0" xfId="1">
      <alignment horizontal="center"/>
    </xf>
    <xf numFmtId="0" fontId="3" fillId="0" borderId="11" applyAlignment="1" pivotButton="0" quotePrefix="0" xfId="1">
      <alignment horizontal="center"/>
    </xf>
    <xf numFmtId="0" fontId="3" fillId="0" borderId="20" applyAlignment="1" pivotButton="0" quotePrefix="0" xfId="0">
      <alignment horizontal="left"/>
    </xf>
    <xf numFmtId="0" fontId="4" fillId="0" borderId="20" applyAlignment="1" pivotButton="0" quotePrefix="0" xfId="0">
      <alignment horizontal="left"/>
    </xf>
    <xf numFmtId="0" fontId="3" fillId="0" borderId="23" applyAlignment="1" pivotButton="0" quotePrefix="0" xfId="0">
      <alignment horizontal="left"/>
    </xf>
    <xf numFmtId="14" fontId="3" fillId="0" borderId="10" applyAlignment="1" pivotButton="0" quotePrefix="0" xfId="0">
      <alignment horizontal="center"/>
    </xf>
    <xf numFmtId="0" fontId="3" fillId="0" borderId="26" applyAlignment="1" pivotButton="0" quotePrefix="0" xfId="0">
      <alignment horizontal="left"/>
    </xf>
    <xf numFmtId="0" fontId="3" fillId="0" borderId="29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11" fillId="0" borderId="19" applyAlignment="1" pivotButton="0" quotePrefix="0" xfId="1">
      <alignment horizontal="center"/>
    </xf>
    <xf numFmtId="0" fontId="3" fillId="0" borderId="9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31" applyAlignment="1" pivotButton="0" quotePrefix="0" xfId="1">
      <alignment horizontal="center"/>
    </xf>
    <xf numFmtId="3" fontId="3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9" fontId="12" fillId="0" borderId="0" applyAlignment="1" pivotButton="0" quotePrefix="0" xfId="2">
      <alignment horizontal="left" vertical="center"/>
    </xf>
    <xf numFmtId="0" fontId="12" fillId="0" borderId="0" applyAlignment="1" pivotButton="0" quotePrefix="0" xfId="2">
      <alignment vertical="center"/>
    </xf>
    <xf numFmtId="0" fontId="13" fillId="0" borderId="0" applyAlignment="1" pivotButton="0" quotePrefix="0" xfId="2">
      <alignment vertical="center"/>
    </xf>
    <xf numFmtId="0" fontId="12" fillId="0" borderId="0" applyAlignment="1" pivotButton="0" quotePrefix="0" xfId="0">
      <alignment horizontal="center"/>
    </xf>
    <xf numFmtId="0" fontId="6" fillId="2" borderId="1" applyAlignment="1" pivotButton="0" quotePrefix="0" xfId="1">
      <alignment horizontal="center"/>
    </xf>
    <xf numFmtId="0" fontId="14" fillId="2" borderId="1" pivotButton="0" quotePrefix="0" xfId="0"/>
    <xf numFmtId="0" fontId="14" fillId="2" borderId="1" applyAlignment="1" pivotButton="0" quotePrefix="0" xfId="0">
      <alignment horizontal="center"/>
    </xf>
    <xf numFmtId="0" fontId="4" fillId="0" borderId="1" applyAlignment="1" pivotButton="0" quotePrefix="0" xfId="2">
      <alignment horizontal="center" vertical="center"/>
    </xf>
    <xf numFmtId="0" fontId="4" fillId="0" borderId="1" applyAlignment="1" pivotButton="0" quotePrefix="0" xfId="3">
      <alignment horizontal="center" vertical="center"/>
    </xf>
    <xf numFmtId="164" fontId="14" fillId="2" borderId="1" pivotButton="0" quotePrefix="0" xfId="0"/>
    <xf numFmtId="49" fontId="4" fillId="0" borderId="1" applyAlignment="1" pivotButton="0" quotePrefix="0" xfId="2">
      <alignment horizontal="center" vertical="center"/>
    </xf>
    <xf numFmtId="165" fontId="3" fillId="0" borderId="0" applyAlignment="1" pivotButton="0" quotePrefix="0" xfId="2">
      <alignment horizontal="center" vertical="center"/>
    </xf>
    <xf numFmtId="166" fontId="3" fillId="0" borderId="0" applyAlignment="1" pivotButton="0" quotePrefix="0" xfId="2">
      <alignment horizontal="center" vertical="center"/>
    </xf>
    <xf numFmtId="167" fontId="3" fillId="0" borderId="0" applyAlignment="1" pivotButton="0" quotePrefix="0" xfId="6">
      <alignment horizontal="center" vertical="center"/>
    </xf>
    <xf numFmtId="0" fontId="3" fillId="0" borderId="0" applyAlignment="1" pivotButton="0" quotePrefix="0" xfId="2">
      <alignment horizontal="center" vertical="center"/>
    </xf>
    <xf numFmtId="0" fontId="3" fillId="0" borderId="30" applyAlignment="1" pivotButton="0" quotePrefix="0" xfId="2">
      <alignment vertical="center"/>
    </xf>
    <xf numFmtId="166" fontId="3" fillId="0" borderId="22" applyAlignment="1" pivotButton="0" quotePrefix="0" xfId="2">
      <alignment horizontal="center" vertical="center"/>
    </xf>
    <xf numFmtId="168" fontId="3" fillId="0" borderId="19" applyAlignment="1" pivotButton="0" quotePrefix="0" xfId="6">
      <alignment horizontal="center" vertical="center"/>
    </xf>
    <xf numFmtId="168" fontId="3" fillId="0" borderId="10" applyAlignment="1" pivotButton="0" quotePrefix="0" xfId="6">
      <alignment horizontal="center" vertical="center"/>
    </xf>
    <xf numFmtId="167" fontId="3" fillId="0" borderId="11" applyAlignment="1" pivotButton="0" quotePrefix="0" xfId="6">
      <alignment horizontal="center" vertical="center"/>
    </xf>
    <xf numFmtId="20" fontId="20" fillId="0" borderId="23" applyAlignment="1" pivotButton="0" quotePrefix="0" xfId="2">
      <alignment horizontal="center" vertical="center"/>
    </xf>
    <xf numFmtId="168" fontId="4" fillId="0" borderId="10" applyAlignment="1" pivotButton="0" quotePrefix="0" xfId="6">
      <alignment horizontal="center" vertical="center"/>
    </xf>
    <xf numFmtId="166" fontId="3" fillId="0" borderId="12" applyAlignment="1" pivotButton="0" quotePrefix="0" xfId="2">
      <alignment horizontal="center" vertical="center"/>
    </xf>
    <xf numFmtId="166" fontId="3" fillId="0" borderId="5" applyAlignment="1" pivotButton="0" quotePrefix="0" xfId="2">
      <alignment horizontal="center" vertical="center"/>
    </xf>
    <xf numFmtId="0" fontId="3" fillId="0" borderId="33" applyAlignment="1" pivotButton="0" quotePrefix="0" xfId="2">
      <alignment vertical="center"/>
    </xf>
    <xf numFmtId="167" fontId="3" fillId="0" borderId="10" applyAlignment="1" pivotButton="0" quotePrefix="0" xfId="6">
      <alignment horizontal="center" vertical="center"/>
    </xf>
    <xf numFmtId="20" fontId="20" fillId="0" borderId="26" applyAlignment="1" pivotButton="0" quotePrefix="0" xfId="2">
      <alignment horizontal="center" vertical="center"/>
    </xf>
    <xf numFmtId="0" fontId="3" fillId="0" borderId="0" applyAlignment="1" pivotButton="0" quotePrefix="0" xfId="2">
      <alignment vertical="center"/>
    </xf>
    <xf numFmtId="0" fontId="3" fillId="0" borderId="34" applyAlignment="1" pivotButton="0" quotePrefix="0" xfId="2">
      <alignment vertical="center"/>
    </xf>
    <xf numFmtId="0" fontId="3" fillId="0" borderId="26" applyAlignment="1" pivotButton="0" quotePrefix="0" xfId="2">
      <alignment vertical="center"/>
    </xf>
    <xf numFmtId="166" fontId="3" fillId="0" borderId="20" applyAlignment="1" pivotButton="0" quotePrefix="0" xfId="2">
      <alignment horizontal="center" vertical="center"/>
    </xf>
    <xf numFmtId="0" fontId="3" fillId="0" borderId="35" applyAlignment="1" pivotButton="0" quotePrefix="0" xfId="2">
      <alignment horizontal="center" vertical="center"/>
    </xf>
    <xf numFmtId="39" fontId="13" fillId="0" borderId="0" applyAlignment="1" pivotButton="0" quotePrefix="0" xfId="2">
      <alignment horizontal="left" vertical="center"/>
    </xf>
    <xf numFmtId="165" fontId="3" fillId="0" borderId="0" applyAlignment="1" pivotButton="0" quotePrefix="0" xfId="2">
      <alignment vertical="center"/>
    </xf>
    <xf numFmtId="0" fontId="22" fillId="0" borderId="0" applyAlignment="1" pivotButton="0" quotePrefix="0" xfId="2">
      <alignment horizontal="center" vertical="center"/>
    </xf>
    <xf numFmtId="39" fontId="22" fillId="0" borderId="0" applyAlignment="1" pivotButton="0" quotePrefix="0" xfId="2">
      <alignment horizontal="center" vertical="center"/>
    </xf>
    <xf numFmtId="39" fontId="22" fillId="0" borderId="0" applyAlignment="1" pivotButton="0" quotePrefix="0" xfId="2">
      <alignment horizontal="centerContinuous" vertical="center"/>
    </xf>
    <xf numFmtId="0" fontId="6" fillId="0" borderId="36" applyAlignment="1" pivotButton="0" quotePrefix="0" xfId="2">
      <alignment horizontal="center" vertical="center"/>
    </xf>
    <xf numFmtId="39" fontId="6" fillId="0" borderId="38" applyAlignment="1" pivotButton="0" quotePrefix="0" xfId="2">
      <alignment horizontal="center" vertical="center"/>
    </xf>
    <xf numFmtId="39" fontId="6" fillId="0" borderId="39" applyAlignment="1" pivotButton="0" quotePrefix="0" xfId="2">
      <alignment horizontal="center" vertical="center"/>
    </xf>
    <xf numFmtId="39" fontId="6" fillId="0" borderId="36" applyAlignment="1" pivotButton="0" quotePrefix="0" xfId="2">
      <alignment horizontal="center" vertical="center"/>
    </xf>
    <xf numFmtId="39" fontId="9" fillId="0" borderId="36" applyAlignment="1" pivotButton="0" quotePrefix="0" xfId="2">
      <alignment horizontal="center" vertical="center"/>
    </xf>
    <xf numFmtId="166" fontId="6" fillId="0" borderId="39" applyAlignment="1" pivotButton="0" quotePrefix="0" xfId="2">
      <alignment horizontal="center" vertical="center"/>
    </xf>
    <xf numFmtId="167" fontId="6" fillId="0" borderId="40" applyAlignment="1" pivotButton="0" quotePrefix="0" xfId="6">
      <alignment horizontal="center" vertical="center"/>
    </xf>
    <xf numFmtId="167" fontId="6" fillId="0" borderId="36" applyAlignment="1" pivotButton="0" quotePrefix="0" xfId="6">
      <alignment horizontal="center" vertical="center"/>
    </xf>
    <xf numFmtId="167" fontId="9" fillId="0" borderId="36" applyAlignment="1" pivotButton="0" quotePrefix="0" xfId="6">
      <alignment horizontal="center" vertical="center"/>
    </xf>
    <xf numFmtId="0" fontId="6" fillId="0" borderId="41" applyAlignment="1" pivotButton="0" quotePrefix="0" xfId="1">
      <alignment horizontal="center"/>
    </xf>
    <xf numFmtId="0" fontId="6" fillId="0" borderId="36" applyAlignment="1" pivotButton="0" quotePrefix="0" xfId="1">
      <alignment horizontal="center"/>
    </xf>
    <xf numFmtId="0" fontId="4" fillId="0" borderId="42" applyAlignment="1" pivotButton="0" quotePrefix="0" xfId="0">
      <alignment horizontal="left"/>
    </xf>
    <xf numFmtId="0" fontId="3" fillId="0" borderId="19" pivotButton="0" quotePrefix="0" xfId="0"/>
    <xf numFmtId="0" fontId="3" fillId="0" borderId="14" pivotButton="0" quotePrefix="0" xfId="0"/>
    <xf numFmtId="0" fontId="3" fillId="0" borderId="26" pivotButton="0" quotePrefix="0" xfId="0"/>
    <xf numFmtId="0" fontId="4" fillId="0" borderId="43" applyAlignment="1" pivotButton="0" quotePrefix="0" xfId="0">
      <alignment horizontal="left"/>
    </xf>
    <xf numFmtId="0" fontId="3" fillId="0" borderId="45" applyAlignment="1" pivotButton="0" quotePrefix="0" xfId="2">
      <alignment horizontal="center" vertical="center"/>
    </xf>
    <xf numFmtId="0" fontId="3" fillId="0" borderId="31" applyAlignment="1" pivotButton="0" quotePrefix="0" xfId="0">
      <alignment horizontal="center"/>
    </xf>
    <xf numFmtId="0" fontId="3" fillId="0" borderId="45" applyAlignment="1" pivotButton="0" quotePrefix="0" xfId="0">
      <alignment horizontal="center"/>
    </xf>
    <xf numFmtId="0" fontId="3" fillId="0" borderId="44" applyAlignment="1" pivotButton="0" quotePrefix="0" xfId="0">
      <alignment horizontal="center"/>
    </xf>
    <xf numFmtId="0" fontId="3" fillId="0" borderId="43" pivotButton="0" quotePrefix="0" xfId="0"/>
    <xf numFmtId="0" fontId="3" fillId="0" borderId="5" pivotButton="0" quotePrefix="0" xfId="0"/>
    <xf numFmtId="0" fontId="3" fillId="0" borderId="7" pivotButton="0" quotePrefix="0" xfId="0"/>
    <xf numFmtId="0" fontId="3" fillId="0" borderId="16" pivotButton="0" quotePrefix="0" xfId="0"/>
    <xf numFmtId="0" fontId="3" fillId="0" borderId="31" pivotButton="0" quotePrefix="0" xfId="0"/>
    <xf numFmtId="0" fontId="3" fillId="0" borderId="46" pivotButton="0" quotePrefix="0" xfId="0"/>
    <xf numFmtId="0" fontId="3" fillId="0" borderId="47" applyAlignment="1" pivotButton="0" quotePrefix="0" xfId="0">
      <alignment horizontal="center"/>
    </xf>
    <xf numFmtId="0" fontId="4" fillId="0" borderId="5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0" fontId="4" fillId="0" borderId="49" applyAlignment="1" pivotButton="0" quotePrefix="0" xfId="0">
      <alignment horizontal="center"/>
    </xf>
    <xf numFmtId="0" fontId="3" fillId="0" borderId="50" applyAlignment="1" pivotButton="0" quotePrefix="0" xfId="0">
      <alignment horizontal="center"/>
    </xf>
    <xf numFmtId="0" fontId="3" fillId="0" borderId="48" applyAlignment="1" pivotButton="0" quotePrefix="0" xfId="0">
      <alignment horizontal="center"/>
    </xf>
    <xf numFmtId="0" fontId="3" fillId="0" borderId="49" applyAlignment="1" pivotButton="0" quotePrefix="0" xfId="0">
      <alignment horizontal="center"/>
    </xf>
    <xf numFmtId="0" fontId="11" fillId="0" borderId="50" applyAlignment="1" pivotButton="0" quotePrefix="0" xfId="1">
      <alignment horizontal="center"/>
    </xf>
    <xf numFmtId="0" fontId="11" fillId="0" borderId="48" applyAlignment="1" pivotButton="0" quotePrefix="0" xfId="1">
      <alignment horizontal="center"/>
    </xf>
    <xf numFmtId="0" fontId="11" fillId="0" borderId="49" applyAlignment="1" pivotButton="0" quotePrefix="0" xfId="1">
      <alignment horizontal="center"/>
    </xf>
    <xf numFmtId="0" fontId="0" fillId="0" borderId="50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3" fillId="0" borderId="44" pivotButton="0" quotePrefix="0" xfId="0"/>
    <xf numFmtId="0" fontId="3" fillId="0" borderId="51" applyAlignment="1" pivotButton="0" quotePrefix="0" xfId="0">
      <alignment horizontal="center"/>
    </xf>
    <xf numFmtId="0" fontId="23" fillId="0" borderId="1" applyAlignment="1" pivotButton="0" quotePrefix="0" xfId="1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2">
      <alignment horizontal="center" vertical="center"/>
    </xf>
    <xf numFmtId="168" fontId="3" fillId="0" borderId="7" applyAlignment="1" pivotButton="0" quotePrefix="0" xfId="3">
      <alignment horizontal="center" vertical="center"/>
    </xf>
    <xf numFmtId="168" fontId="3" fillId="0" borderId="19" applyAlignment="1" pivotButton="0" quotePrefix="0" xfId="3">
      <alignment horizontal="center" vertical="center"/>
    </xf>
    <xf numFmtId="0" fontId="3" fillId="0" borderId="19" applyAlignment="1" pivotButton="0" quotePrefix="0" xfId="3">
      <alignment horizontal="center" vertical="center"/>
    </xf>
    <xf numFmtId="168" fontId="3" fillId="0" borderId="14" applyAlignment="1" pivotButton="0" quotePrefix="0" xfId="3">
      <alignment horizontal="center" vertical="center"/>
    </xf>
    <xf numFmtId="168" fontId="3" fillId="0" borderId="0" applyAlignment="1" pivotButton="0" quotePrefix="0" xfId="3">
      <alignment horizontal="center" vertical="center"/>
    </xf>
    <xf numFmtId="168" fontId="3" fillId="0" borderId="0" applyAlignment="1" pivotButton="0" quotePrefix="0" xfId="3">
      <alignment horizontal="center" vertical="center"/>
    </xf>
    <xf numFmtId="0" fontId="3" fillId="0" borderId="48" applyAlignment="1" pivotButton="0" quotePrefix="0" xfId="3">
      <alignment horizontal="center" vertical="center"/>
    </xf>
    <xf numFmtId="0" fontId="3" fillId="0" borderId="49" applyAlignment="1" pivotButton="0" quotePrefix="0" xfId="3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applyAlignment="1" pivotButton="0" quotePrefix="0" xfId="0">
      <alignment horizontal="center"/>
    </xf>
    <xf numFmtId="166" fontId="6" fillId="0" borderId="53" applyAlignment="1" pivotButton="0" quotePrefix="0" xfId="2">
      <alignment horizontal="center" vertical="center"/>
    </xf>
    <xf numFmtId="0" fontId="21" fillId="0" borderId="0" pivotButton="0" quotePrefix="0" xfId="0"/>
    <xf numFmtId="0" fontId="4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169" fontId="0" fillId="0" borderId="0" applyAlignment="1" pivotButton="0" quotePrefix="0" xfId="0">
      <alignment horizontal="center"/>
    </xf>
    <xf numFmtId="170" fontId="25" fillId="0" borderId="0" applyAlignment="1" pivotButton="0" quotePrefix="0" xfId="10">
      <alignment horizontal="center"/>
    </xf>
    <xf numFmtId="169" fontId="26" fillId="4" borderId="1" applyAlignment="1" pivotButton="0" quotePrefix="0" xfId="0">
      <alignment horizontal="center"/>
    </xf>
    <xf numFmtId="170" fontId="25" fillId="0" borderId="1" applyAlignment="1" pivotButton="0" quotePrefix="0" xfId="10">
      <alignment horizontal="center"/>
    </xf>
    <xf numFmtId="169" fontId="0" fillId="0" borderId="54" applyAlignment="1" pivotButton="0" quotePrefix="0" xfId="0">
      <alignment horizontal="center"/>
    </xf>
    <xf numFmtId="170" fontId="25" fillId="0" borderId="54" applyAlignment="1" pivotButton="0" quotePrefix="0" xfId="10">
      <alignment horizontal="center"/>
    </xf>
    <xf numFmtId="20" fontId="25" fillId="0" borderId="54" applyAlignment="1" pivotButton="0" quotePrefix="0" xfId="10">
      <alignment horizontal="center"/>
    </xf>
    <xf numFmtId="0" fontId="0" fillId="0" borderId="54" applyAlignment="1" pivotButton="0" quotePrefix="0" xfId="0">
      <alignment horizontal="center"/>
    </xf>
    <xf numFmtId="20" fontId="25" fillId="0" borderId="55" applyAlignment="1" pivotButton="0" quotePrefix="0" xfId="10">
      <alignment horizontal="center"/>
    </xf>
    <xf numFmtId="169" fontId="0" fillId="0" borderId="55" applyAlignment="1" pivotButton="0" quotePrefix="0" xfId="0">
      <alignment horizontal="center"/>
    </xf>
    <xf numFmtId="170" fontId="25" fillId="0" borderId="55" applyAlignment="1" pivotButton="0" quotePrefix="0" xfId="1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170" fontId="25" fillId="0" borderId="56" applyAlignment="1" pivotButton="0" quotePrefix="0" xfId="10">
      <alignment horizontal="center"/>
    </xf>
    <xf numFmtId="169" fontId="0" fillId="0" borderId="56" applyAlignment="1" pivotButton="0" quotePrefix="0" xfId="0">
      <alignment horizontal="center"/>
    </xf>
    <xf numFmtId="20" fontId="25" fillId="0" borderId="56" applyAlignment="1" pivotButton="0" quotePrefix="0" xfId="10">
      <alignment horizontal="center"/>
    </xf>
    <xf numFmtId="169" fontId="27" fillId="0" borderId="48" applyAlignment="1" pivotButton="0" quotePrefix="0" xfId="0">
      <alignment horizontal="center"/>
    </xf>
    <xf numFmtId="170" fontId="27" fillId="0" borderId="48" applyAlignment="1" pivotButton="0" quotePrefix="0" xfId="10">
      <alignment horizontal="center"/>
    </xf>
    <xf numFmtId="20" fontId="27" fillId="0" borderId="48" applyAlignment="1" pivotButton="0" quotePrefix="0" xfId="10">
      <alignment horizontal="center"/>
    </xf>
    <xf numFmtId="170" fontId="25" fillId="0" borderId="57" applyAlignment="1" pivotButton="0" quotePrefix="0" xfId="10">
      <alignment horizontal="center"/>
    </xf>
    <xf numFmtId="20" fontId="25" fillId="0" borderId="58" applyAlignment="1" pivotButton="0" quotePrefix="0" xfId="10">
      <alignment horizontal="center"/>
    </xf>
    <xf numFmtId="0" fontId="4" fillId="0" borderId="1" applyAlignment="1" pivotButton="0" quotePrefix="0" xfId="5">
      <alignment horizontal="left"/>
    </xf>
    <xf numFmtId="0" fontId="3" fillId="0" borderId="44" applyAlignment="1" pivotButton="0" quotePrefix="0" xfId="2">
      <alignment horizontal="center" vertical="center"/>
    </xf>
    <xf numFmtId="0" fontId="30" fillId="5" borderId="1" applyAlignment="1" pivotButton="0" quotePrefix="0" xfId="0">
      <alignment horizontal="right" vertical="center" wrapText="1" indent="1"/>
    </xf>
    <xf numFmtId="0" fontId="0" fillId="6" borderId="0" pivotButton="0" quotePrefix="0" xfId="0"/>
    <xf numFmtId="0" fontId="0" fillId="6" borderId="1" pivotButton="0" quotePrefix="0" xfId="0"/>
    <xf numFmtId="170" fontId="25" fillId="0" borderId="54" applyAlignment="1" pivotButton="0" quotePrefix="0" xfId="9">
      <alignment horizontal="center"/>
    </xf>
    <xf numFmtId="170" fontId="25" fillId="0" borderId="0" applyAlignment="1" pivotButton="0" quotePrefix="0" xfId="9">
      <alignment horizontal="center"/>
    </xf>
    <xf numFmtId="20" fontId="25" fillId="0" borderId="55" applyAlignment="1" pivotButton="0" quotePrefix="0" xfId="9">
      <alignment horizontal="center"/>
    </xf>
    <xf numFmtId="170" fontId="25" fillId="0" borderId="55" applyAlignment="1" pivotButton="0" quotePrefix="0" xfId="9">
      <alignment horizontal="center"/>
    </xf>
    <xf numFmtId="170" fontId="25" fillId="0" borderId="56" applyAlignment="1" pivotButton="0" quotePrefix="0" xfId="9">
      <alignment horizontal="center"/>
    </xf>
    <xf numFmtId="0" fontId="2" fillId="0" borderId="0" applyAlignment="1" pivotButton="0" quotePrefix="0" xfId="0">
      <alignment horizontal="left"/>
    </xf>
    <xf numFmtId="171" fontId="17" fillId="0" borderId="32" applyAlignment="1" pivotButton="0" quotePrefix="0" xfId="0">
      <alignment horizontal="center" vertical="center"/>
    </xf>
    <xf numFmtId="171" fontId="17" fillId="0" borderId="52" applyAlignment="1" pivotButton="0" quotePrefix="0" xfId="0">
      <alignment horizontal="center" vertical="center"/>
    </xf>
    <xf numFmtId="39" fontId="6" fillId="0" borderId="37" applyAlignment="1" pivotButton="0" quotePrefix="0" xfId="2">
      <alignment horizontal="center" vertical="center"/>
    </xf>
    <xf numFmtId="39" fontId="6" fillId="0" borderId="38" applyAlignment="1" pivotButton="0" quotePrefix="0" xfId="2">
      <alignment horizontal="center" vertical="center"/>
    </xf>
    <xf numFmtId="164" fontId="14" fillId="2" borderId="1" pivotButton="0" quotePrefix="0" xfId="0"/>
    <xf numFmtId="168" fontId="3" fillId="0" borderId="7" applyAlignment="1" pivotButton="0" quotePrefix="0" xfId="3">
      <alignment horizontal="center" vertical="center"/>
    </xf>
    <xf numFmtId="168" fontId="3" fillId="0" borderId="19" applyAlignment="1" pivotButton="0" quotePrefix="0" xfId="3">
      <alignment horizontal="center" vertical="center"/>
    </xf>
    <xf numFmtId="168" fontId="3" fillId="0" borderId="14" applyAlignment="1" pivotButton="0" quotePrefix="0" xfId="3">
      <alignment horizontal="center" vertical="center"/>
    </xf>
    <xf numFmtId="168" fontId="3" fillId="0" borderId="0" applyAlignment="1" pivotButton="0" quotePrefix="0" xfId="3">
      <alignment horizontal="center" vertical="center"/>
    </xf>
    <xf numFmtId="166" fontId="3" fillId="0" borderId="0" applyAlignment="1" pivotButton="0" quotePrefix="0" xfId="2">
      <alignment horizontal="center" vertical="center"/>
    </xf>
    <xf numFmtId="167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2">
      <alignment vertical="center"/>
    </xf>
    <xf numFmtId="165" fontId="3" fillId="0" borderId="0" applyAlignment="1" pivotButton="0" quotePrefix="0" xfId="2">
      <alignment horizontal="center" vertical="center"/>
    </xf>
    <xf numFmtId="171" fontId="17" fillId="0" borderId="3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46" pivotButton="0" quotePrefix="0" xfId="0"/>
    <xf numFmtId="39" fontId="6" fillId="0" borderId="8" applyAlignment="1" pivotButton="0" quotePrefix="0" xfId="2">
      <alignment horizontal="center" vertical="center"/>
    </xf>
    <xf numFmtId="0" fontId="0" fillId="0" borderId="13" pivotButton="0" quotePrefix="0" xfId="0"/>
    <xf numFmtId="166" fontId="6" fillId="0" borderId="39" applyAlignment="1" pivotButton="0" quotePrefix="0" xfId="2">
      <alignment horizontal="center" vertical="center"/>
    </xf>
    <xf numFmtId="167" fontId="6" fillId="0" borderId="40" applyAlignment="1" pivotButton="0" quotePrefix="0" xfId="6">
      <alignment horizontal="center" vertical="center"/>
    </xf>
    <xf numFmtId="167" fontId="6" fillId="0" borderId="36" applyAlignment="1" pivotButton="0" quotePrefix="0" xfId="6">
      <alignment horizontal="center" vertical="center"/>
    </xf>
    <xf numFmtId="167" fontId="9" fillId="0" borderId="36" applyAlignment="1" pivotButton="0" quotePrefix="0" xfId="6">
      <alignment horizontal="center" vertical="center"/>
    </xf>
    <xf numFmtId="166" fontId="6" fillId="0" borderId="53" applyAlignment="1" pivotButton="0" quotePrefix="0" xfId="2">
      <alignment horizontal="center" vertical="center"/>
    </xf>
    <xf numFmtId="166" fontId="3" fillId="0" borderId="22" applyAlignment="1" pivotButton="0" quotePrefix="0" xfId="2">
      <alignment horizontal="center" vertical="center"/>
    </xf>
    <xf numFmtId="168" fontId="3" fillId="0" borderId="19" applyAlignment="1" pivotButton="0" quotePrefix="0" xfId="6">
      <alignment horizontal="center" vertical="center"/>
    </xf>
    <xf numFmtId="168" fontId="3" fillId="0" borderId="10" applyAlignment="1" pivotButton="0" quotePrefix="0" xfId="6">
      <alignment horizontal="center" vertical="center"/>
    </xf>
    <xf numFmtId="167" fontId="3" fillId="0" borderId="11" applyAlignment="1" pivotButton="0" quotePrefix="0" xfId="6">
      <alignment horizontal="center" vertical="center"/>
    </xf>
    <xf numFmtId="168" fontId="4" fillId="0" borderId="10" applyAlignment="1" pivotButton="0" quotePrefix="0" xfId="6">
      <alignment horizontal="center" vertical="center"/>
    </xf>
    <xf numFmtId="166" fontId="3" fillId="0" borderId="12" applyAlignment="1" pivotButton="0" quotePrefix="0" xfId="2">
      <alignment horizontal="center" vertical="center"/>
    </xf>
    <xf numFmtId="166" fontId="3" fillId="0" borderId="5" applyAlignment="1" pivotButton="0" quotePrefix="0" xfId="2">
      <alignment horizontal="center" vertical="center"/>
    </xf>
    <xf numFmtId="167" fontId="3" fillId="0" borderId="10" applyAlignment="1" pivotButton="0" quotePrefix="0" xfId="6">
      <alignment horizontal="center" vertical="center"/>
    </xf>
    <xf numFmtId="166" fontId="3" fillId="0" borderId="20" applyAlignment="1" pivotButton="0" quotePrefix="0" xfId="2">
      <alignment horizontal="center" vertical="center"/>
    </xf>
    <xf numFmtId="170" fontId="25" fillId="0" borderId="55" applyAlignment="1" pivotButton="0" quotePrefix="0" xfId="9">
      <alignment horizontal="center"/>
    </xf>
    <xf numFmtId="170" fontId="25" fillId="0" borderId="0" applyAlignment="1" pivotButton="0" quotePrefix="0" xfId="9">
      <alignment horizontal="center"/>
    </xf>
    <xf numFmtId="170" fontId="25" fillId="0" borderId="56" applyAlignment="1" pivotButton="0" quotePrefix="0" xfId="9">
      <alignment horizontal="center"/>
    </xf>
    <xf numFmtId="170" fontId="25" fillId="0" borderId="54" applyAlignment="1" pivotButton="0" quotePrefix="0" xfId="9">
      <alignment horizontal="center"/>
    </xf>
    <xf numFmtId="169" fontId="0" fillId="0" borderId="0" applyAlignment="1" pivotButton="0" quotePrefix="0" xfId="0">
      <alignment horizontal="center"/>
    </xf>
    <xf numFmtId="170" fontId="25" fillId="0" borderId="0" applyAlignment="1" pivotButton="0" quotePrefix="0" xfId="10">
      <alignment horizontal="center"/>
    </xf>
    <xf numFmtId="169" fontId="26" fillId="4" borderId="1" applyAlignment="1" pivotButton="0" quotePrefix="0" xfId="0">
      <alignment horizontal="center"/>
    </xf>
    <xf numFmtId="170" fontId="25" fillId="0" borderId="1" applyAlignment="1" pivotButton="0" quotePrefix="0" xfId="10">
      <alignment horizontal="center"/>
    </xf>
    <xf numFmtId="169" fontId="0" fillId="0" borderId="54" applyAlignment="1" pivotButton="0" quotePrefix="0" xfId="0">
      <alignment horizontal="center"/>
    </xf>
    <xf numFmtId="170" fontId="25" fillId="0" borderId="54" applyAlignment="1" pivotButton="0" quotePrefix="0" xfId="10">
      <alignment horizontal="center"/>
    </xf>
    <xf numFmtId="169" fontId="0" fillId="0" borderId="55" applyAlignment="1" pivotButton="0" quotePrefix="0" xfId="0">
      <alignment horizontal="center"/>
    </xf>
    <xf numFmtId="170" fontId="25" fillId="0" borderId="55" applyAlignment="1" pivotButton="0" quotePrefix="0" xfId="10">
      <alignment horizontal="center"/>
    </xf>
    <xf numFmtId="170" fontId="25" fillId="0" borderId="56" applyAlignment="1" pivotButton="0" quotePrefix="0" xfId="10">
      <alignment horizontal="center"/>
    </xf>
    <xf numFmtId="169" fontId="0" fillId="0" borderId="56" applyAlignment="1" pivotButton="0" quotePrefix="0" xfId="0">
      <alignment horizontal="center"/>
    </xf>
    <xf numFmtId="169" fontId="27" fillId="0" borderId="48" applyAlignment="1" pivotButton="0" quotePrefix="0" xfId="0">
      <alignment horizontal="center"/>
    </xf>
    <xf numFmtId="170" fontId="27" fillId="0" borderId="48" applyAlignment="1" pivotButton="0" quotePrefix="0" xfId="10">
      <alignment horizontal="center"/>
    </xf>
    <xf numFmtId="170" fontId="25" fillId="0" borderId="57" applyAlignment="1" pivotButton="0" quotePrefix="0" xfId="10">
      <alignment horizontal="center"/>
    </xf>
  </cellXfs>
  <cellStyles count="13">
    <cellStyle name="Normal" xfId="0" builtinId="0"/>
    <cellStyle name="ปกติ_Sheet1" xfId="1"/>
    <cellStyle name="Normal 2" xfId="2"/>
    <cellStyle name="Comma 2" xfId="3"/>
    <cellStyle name="Comma 2 2" xfId="4"/>
    <cellStyle name="Normal 3" xfId="5"/>
    <cellStyle name="Comma 2 3" xfId="6"/>
    <cellStyle name="Comma 3" xfId="7"/>
    <cellStyle name="Normal 4" xfId="8"/>
    <cellStyle name="Comma 4" xfId="9"/>
    <cellStyle name="Comma" xfId="10" builtinId="3"/>
    <cellStyle name="Normal 5" xfId="11"/>
    <cellStyle name="Comma 5" xfId="12"/>
  </cellStyles>
  <dxfs count="1">
    <dxf>
      <fill>
        <patternFill>
          <bgColor indexed="10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C92"/>
  <sheetViews>
    <sheetView tabSelected="1" zoomScale="85" zoomScaleNormal="85" workbookViewId="0">
      <pane xSplit="4" ySplit="4" topLeftCell="E85" activePane="bottomRight" state="frozen"/>
      <selection pane="topRight" activeCell="E1" sqref="E1"/>
      <selection pane="bottomLeft" activeCell="A5" sqref="A5"/>
      <selection pane="bottomRight" activeCell="E87" sqref="E87:F93"/>
    </sheetView>
  </sheetViews>
  <sheetFormatPr baseColWidth="8" defaultRowHeight="14.5"/>
  <cols>
    <col width="10.453125" customWidth="1" min="3" max="3"/>
    <col width="12.26953125" customWidth="1" min="4" max="4"/>
    <col width="9.7265625" bestFit="1" customWidth="1" min="5" max="11"/>
    <col width="9.7265625" bestFit="1" customWidth="1" min="17" max="17"/>
    <col hidden="1" width="9.7265625" customWidth="1" min="20" max="20"/>
    <col hidden="1" width="9.453125" customWidth="1" min="21" max="27"/>
    <col hidden="1" min="28" max="29"/>
  </cols>
  <sheetData>
    <row r="1" ht="23" customHeight="1">
      <c r="A1" s="122" t="inlineStr">
        <is>
          <t>บริษัท ช.ไพศาล จำกัด</t>
        </is>
      </c>
      <c r="B1" s="122" t="n"/>
    </row>
    <row r="2" ht="23" customHeight="1">
      <c r="A2" s="123" t="inlineStr">
        <is>
          <t>สรุปผลประเมิน ปี 2568</t>
        </is>
      </c>
      <c r="B2" s="123" t="n"/>
      <c r="D2" s="124" t="n"/>
    </row>
    <row r="3" ht="23" customHeight="1">
      <c r="A3" s="125" t="inlineStr">
        <is>
          <t>หมายเหตุ</t>
        </is>
      </c>
      <c r="B3" s="125" t="n"/>
    </row>
    <row r="4" ht="20.5" customHeight="1">
      <c r="A4" s="126" t="inlineStr">
        <is>
          <t>ลำดับ</t>
        </is>
      </c>
      <c r="B4" s="126" t="inlineStr">
        <is>
          <t>คำนำหน้า</t>
        </is>
      </c>
      <c r="C4" s="126" t="inlineStr">
        <is>
          <t>ชื่อ</t>
        </is>
      </c>
      <c r="D4" s="126" t="inlineStr">
        <is>
          <t>สกุล</t>
        </is>
      </c>
      <c r="E4" s="200" t="inlineStr">
        <is>
          <t>เจ้</t>
        </is>
      </c>
      <c r="F4" s="200" t="inlineStr">
        <is>
          <t>กู๋กวง</t>
        </is>
      </c>
      <c r="G4" s="200" t="inlineStr">
        <is>
          <t>ลาคร</t>
        </is>
      </c>
      <c r="H4" s="200" t="inlineStr">
        <is>
          <t>วสันต์</t>
        </is>
      </c>
      <c r="I4" s="200" t="inlineStr">
        <is>
          <t>ประเสริฐ์</t>
        </is>
      </c>
      <c r="J4" s="200" t="inlineStr">
        <is>
          <t>พัชรวัฒน์</t>
        </is>
      </c>
      <c r="K4" s="200" t="inlineStr">
        <is>
          <t>สำราญ</t>
        </is>
      </c>
      <c r="L4" s="200" t="inlineStr">
        <is>
          <t>บัดกรี</t>
        </is>
      </c>
      <c r="M4" s="200" t="inlineStr">
        <is>
          <t>สมพงษ์</t>
        </is>
      </c>
      <c r="N4" s="200" t="inlineStr">
        <is>
          <t>ติ่ง</t>
        </is>
      </c>
      <c r="O4" s="200" t="inlineStr">
        <is>
          <t>ชูชาติ</t>
        </is>
      </c>
      <c r="P4" s="200" t="inlineStr">
        <is>
          <t>สาธิต</t>
        </is>
      </c>
      <c r="Q4" s="200" t="inlineStr">
        <is>
          <t>ไพฑูรย์</t>
        </is>
      </c>
      <c r="T4" s="127" t="inlineStr">
        <is>
          <t>ผลประเมิน</t>
        </is>
      </c>
      <c r="U4" s="127" t="inlineStr">
        <is>
          <t>ผลคะแนน</t>
        </is>
      </c>
      <c r="V4" s="127" t="inlineStr">
        <is>
          <t>ผลคะแนน</t>
        </is>
      </c>
      <c r="W4" s="127" t="inlineStr">
        <is>
          <t>ผลคะแนน</t>
        </is>
      </c>
      <c r="X4" s="127" t="inlineStr">
        <is>
          <t>ผลคะแนน</t>
        </is>
      </c>
      <c r="Y4" s="127" t="inlineStr">
        <is>
          <t>ผลคะแนน</t>
        </is>
      </c>
      <c r="Z4" s="127" t="inlineStr">
        <is>
          <t>ผลคะแนน</t>
        </is>
      </c>
      <c r="AA4" s="127" t="inlineStr">
        <is>
          <t>ผลคะแนน</t>
        </is>
      </c>
      <c r="AB4" s="128" t="inlineStr">
        <is>
          <t>สรุป</t>
        </is>
      </c>
      <c r="AC4" s="127" t="inlineStr">
        <is>
          <t>grade66</t>
        </is>
      </c>
    </row>
    <row r="5" ht="20" customHeight="1">
      <c r="A5" s="129" t="n">
        <v>1</v>
      </c>
      <c r="B5" s="119" t="inlineStr">
        <is>
          <t>น.ส.</t>
        </is>
      </c>
      <c r="C5" s="119" t="inlineStr">
        <is>
          <t>ชิติมา</t>
        </is>
      </c>
      <c r="D5" s="119" t="inlineStr">
        <is>
          <t>กตัญญู</t>
        </is>
      </c>
      <c r="E5" s="130" t="n"/>
      <c r="F5" s="130" t="n"/>
      <c r="G5" s="130" t="n"/>
      <c r="H5" s="130" t="n"/>
      <c r="I5" s="130" t="n"/>
      <c r="J5" s="130" t="n"/>
      <c r="K5" s="130" t="n"/>
      <c r="L5" s="130" t="n"/>
      <c r="M5" s="130" t="n"/>
      <c r="N5" s="130" t="n"/>
      <c r="O5" s="130" t="n"/>
      <c r="P5" s="130" t="n"/>
      <c r="Q5" s="130" t="n"/>
      <c r="T5" s="127" t="inlineStr">
        <is>
          <t>A</t>
        </is>
      </c>
      <c r="U5" s="127" t="inlineStr"/>
      <c r="V5" s="127" t="inlineStr"/>
      <c r="W5" s="127" t="inlineStr"/>
      <c r="X5" s="127" t="inlineStr"/>
      <c r="Y5" s="127" t="inlineStr"/>
      <c r="Z5" s="127" t="inlineStr"/>
      <c r="AA5" s="127" t="n">
        <v>12</v>
      </c>
      <c r="AB5" s="254" t="n">
        <v>12</v>
      </c>
      <c r="AC5" s="127" t="inlineStr">
        <is>
          <t>A</t>
        </is>
      </c>
    </row>
    <row r="6" ht="20" customHeight="1">
      <c r="A6" s="129" t="n">
        <v>2</v>
      </c>
      <c r="B6" s="119" t="inlineStr">
        <is>
          <t>นาง</t>
        </is>
      </c>
      <c r="C6" s="119" t="inlineStr">
        <is>
          <t>พรพิมล</t>
        </is>
      </c>
      <c r="D6" s="119" t="inlineStr">
        <is>
          <t>มั่นทอง</t>
        </is>
      </c>
      <c r="E6" s="130" t="n"/>
      <c r="F6" s="130" t="n"/>
      <c r="G6" s="130" t="n"/>
      <c r="H6" s="130" t="n"/>
      <c r="I6" s="130" t="n"/>
      <c r="J6" s="130" t="n"/>
      <c r="K6" s="130" t="n"/>
      <c r="L6" s="130" t="n"/>
      <c r="M6" s="130" t="n"/>
      <c r="N6" s="130" t="n"/>
      <c r="O6" s="130" t="n"/>
      <c r="P6" s="130" t="n"/>
      <c r="Q6" s="130" t="n"/>
      <c r="T6" s="127" t="inlineStr">
        <is>
          <t>A</t>
        </is>
      </c>
      <c r="U6" s="127" t="n">
        <v>12</v>
      </c>
      <c r="V6" s="127" t="inlineStr"/>
      <c r="W6" s="127" t="inlineStr"/>
      <c r="X6" s="127" t="inlineStr"/>
      <c r="Y6" s="127" t="inlineStr"/>
      <c r="Z6" s="127" t="inlineStr"/>
      <c r="AA6" s="127" t="n">
        <v>12</v>
      </c>
      <c r="AB6" s="254" t="n">
        <v>12</v>
      </c>
      <c r="AC6" s="127" t="inlineStr">
        <is>
          <t>A</t>
        </is>
      </c>
    </row>
    <row r="7" ht="20" customHeight="1">
      <c r="A7" s="129" t="n">
        <v>3</v>
      </c>
      <c r="B7" s="119" t="inlineStr">
        <is>
          <t>น.ส.</t>
        </is>
      </c>
      <c r="C7" s="119" t="inlineStr">
        <is>
          <t>แสงงาม</t>
        </is>
      </c>
      <c r="D7" s="119" t="inlineStr">
        <is>
          <t>สะราคำ</t>
        </is>
      </c>
      <c r="E7" s="130" t="n"/>
      <c r="F7" s="130" t="n"/>
      <c r="G7" s="130" t="n"/>
      <c r="H7" s="130" t="n"/>
      <c r="I7" s="130" t="n"/>
      <c r="J7" s="130" t="n"/>
      <c r="K7" s="130" t="n"/>
      <c r="L7" s="130" t="n"/>
      <c r="M7" s="130" t="n"/>
      <c r="N7" s="130" t="n"/>
      <c r="O7" s="130" t="n"/>
      <c r="P7" s="130" t="n"/>
      <c r="Q7" s="130" t="n"/>
      <c r="T7" s="127" t="inlineStr">
        <is>
          <t>A-</t>
        </is>
      </c>
      <c r="U7" s="127" t="inlineStr"/>
      <c r="V7" s="127" t="inlineStr"/>
      <c r="W7" s="127" t="inlineStr"/>
      <c r="X7" s="127" t="inlineStr"/>
      <c r="Y7" s="127" t="inlineStr"/>
      <c r="Z7" s="127" t="inlineStr"/>
      <c r="AA7" s="127" t="n">
        <v>11</v>
      </c>
      <c r="AB7" s="254" t="n">
        <v>11</v>
      </c>
      <c r="AC7" s="127" t="inlineStr">
        <is>
          <t>A-</t>
        </is>
      </c>
    </row>
    <row r="8" ht="20" customHeight="1">
      <c r="A8" s="129" t="n">
        <v>5</v>
      </c>
      <c r="B8" s="119" t="inlineStr">
        <is>
          <t>นาย</t>
        </is>
      </c>
      <c r="C8" s="119" t="inlineStr">
        <is>
          <t>กิตติศักดิ์</t>
        </is>
      </c>
      <c r="D8" s="119" t="inlineStr">
        <is>
          <t>ศรีสำปทวน</t>
        </is>
      </c>
      <c r="E8" s="129" t="n"/>
      <c r="F8" s="129" t="n">
        <v>9</v>
      </c>
      <c r="G8" s="129" t="n"/>
      <c r="H8" s="132" t="n"/>
      <c r="I8" s="129" t="n"/>
      <c r="J8" s="129" t="n">
        <v>8</v>
      </c>
      <c r="K8" s="129" t="n">
        <v>8</v>
      </c>
      <c r="L8" s="202" t="n">
        <v>9</v>
      </c>
      <c r="M8" s="129" t="n"/>
      <c r="N8" s="129" t="n"/>
      <c r="O8" s="129" t="n"/>
      <c r="P8" s="129" t="n"/>
      <c r="Q8" s="129" t="n"/>
      <c r="T8" s="127" t="inlineStr">
        <is>
          <t>A</t>
        </is>
      </c>
      <c r="U8" s="127" t="inlineStr"/>
      <c r="V8" s="127" t="inlineStr"/>
      <c r="W8" s="127" t="inlineStr"/>
      <c r="X8" s="127" t="inlineStr"/>
      <c r="Y8" s="127" t="inlineStr"/>
      <c r="Z8" s="127" t="inlineStr"/>
      <c r="AA8" s="127" t="n">
        <v>12</v>
      </c>
      <c r="AB8" s="254" t="n">
        <v>12</v>
      </c>
      <c r="AC8" s="127" t="inlineStr">
        <is>
          <t>A</t>
        </is>
      </c>
    </row>
    <row r="9" ht="20" customHeight="1">
      <c r="A9" s="129" t="n">
        <v>6</v>
      </c>
      <c r="B9" s="119" t="inlineStr">
        <is>
          <t>นาย</t>
        </is>
      </c>
      <c r="C9" s="119" t="inlineStr">
        <is>
          <t>เกรียงไกร</t>
        </is>
      </c>
      <c r="D9" s="119" t="inlineStr">
        <is>
          <t>พึ่งพวก</t>
        </is>
      </c>
      <c r="E9" s="129" t="n"/>
      <c r="F9" s="129" t="n">
        <v>5</v>
      </c>
      <c r="G9" s="129" t="n"/>
      <c r="H9" s="132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T9" s="127" t="n"/>
      <c r="U9" s="127" t="n">
        <v>6</v>
      </c>
      <c r="V9" s="127" t="n">
        <v>9</v>
      </c>
      <c r="W9" s="127" t="n">
        <v>6</v>
      </c>
      <c r="X9" s="127" t="n">
        <v>6</v>
      </c>
      <c r="Y9" s="127" t="inlineStr"/>
      <c r="Z9" s="127" t="inlineStr"/>
      <c r="AA9" s="127" t="inlineStr"/>
      <c r="AB9" s="254" t="n">
        <v>6.8</v>
      </c>
      <c r="AC9" s="127" t="inlineStr">
        <is>
          <t>C+</t>
        </is>
      </c>
    </row>
    <row r="10" ht="20" customHeight="1">
      <c r="A10" s="129" t="n">
        <v>7</v>
      </c>
      <c r="B10" s="119" t="inlineStr">
        <is>
          <t>นาย</t>
        </is>
      </c>
      <c r="C10" s="119" t="inlineStr">
        <is>
          <t>คมสัน</t>
        </is>
      </c>
      <c r="D10" s="119" t="inlineStr">
        <is>
          <t>บุญมา</t>
        </is>
      </c>
      <c r="E10" s="129" t="n"/>
      <c r="F10" s="129" t="n">
        <v>3</v>
      </c>
      <c r="G10" s="129" t="n"/>
      <c r="H10" s="132" t="n"/>
      <c r="I10" s="129" t="n"/>
      <c r="J10" s="129" t="n"/>
      <c r="K10" s="129" t="n"/>
      <c r="L10" s="129" t="n"/>
      <c r="M10" s="129" t="n">
        <v>8</v>
      </c>
      <c r="N10" s="129" t="n">
        <v>6</v>
      </c>
      <c r="O10" s="129" t="n">
        <v>6</v>
      </c>
      <c r="P10" s="129" t="n"/>
      <c r="Q10" s="129" t="n"/>
      <c r="T10" s="127" t="n"/>
      <c r="U10" s="127" t="n">
        <v>6</v>
      </c>
      <c r="V10" s="127" t="n">
        <v>9</v>
      </c>
      <c r="W10" s="127" t="n">
        <v>6</v>
      </c>
      <c r="X10" s="127" t="n">
        <v>6</v>
      </c>
      <c r="Y10" s="127" t="inlineStr"/>
      <c r="Z10" s="127" t="inlineStr"/>
      <c r="AA10" s="127" t="inlineStr"/>
      <c r="AB10" s="254" t="n">
        <v>6.8</v>
      </c>
      <c r="AC10" s="127" t="inlineStr">
        <is>
          <t>C+</t>
        </is>
      </c>
    </row>
    <row r="11" ht="20" customHeight="1">
      <c r="A11" s="129" t="n">
        <v>8</v>
      </c>
      <c r="B11" s="119" t="inlineStr">
        <is>
          <t>น.ส.</t>
        </is>
      </c>
      <c r="C11" s="119" t="inlineStr">
        <is>
          <t>จารุวรรณ</t>
        </is>
      </c>
      <c r="D11" s="119" t="inlineStr">
        <is>
          <t>เปี่ยมเสน</t>
        </is>
      </c>
      <c r="E11" s="129" t="n"/>
      <c r="F11" s="129" t="n"/>
      <c r="G11" s="129" t="n">
        <v>5</v>
      </c>
      <c r="H11" s="132" t="inlineStr">
        <is>
          <t>5</t>
        </is>
      </c>
      <c r="I11" s="129" t="n">
        <v>4</v>
      </c>
      <c r="J11" s="129" t="n"/>
      <c r="K11" s="129" t="n"/>
      <c r="L11" s="129" t="n"/>
      <c r="M11" s="129" t="n"/>
      <c r="N11" s="129" t="n"/>
      <c r="O11" s="129" t="n"/>
      <c r="P11" s="129" t="n"/>
      <c r="Q11" s="129" t="n"/>
      <c r="T11" s="127" t="n"/>
      <c r="U11" s="127" t="n">
        <v>11</v>
      </c>
      <c r="V11" s="127" t="n">
        <v>6</v>
      </c>
      <c r="W11" s="127" t="n">
        <v>9</v>
      </c>
      <c r="X11" s="127" t="inlineStr"/>
      <c r="Y11" s="127" t="inlineStr"/>
      <c r="Z11" s="127" t="inlineStr"/>
      <c r="AA11" s="127" t="inlineStr"/>
      <c r="AB11" s="254" t="n">
        <v>8.699999999999999</v>
      </c>
      <c r="AC11" s="127" t="inlineStr">
        <is>
          <t>B</t>
        </is>
      </c>
    </row>
    <row r="12" ht="20" customHeight="1">
      <c r="A12" s="129" t="n">
        <v>9</v>
      </c>
      <c r="B12" s="119" t="inlineStr">
        <is>
          <t>น.ส.</t>
        </is>
      </c>
      <c r="C12" s="119" t="inlineStr">
        <is>
          <t>จิราภรณ์</t>
        </is>
      </c>
      <c r="D12" s="119" t="inlineStr">
        <is>
          <t>สิงห์บุตร</t>
        </is>
      </c>
      <c r="E12" s="129" t="n"/>
      <c r="F12" s="129" t="n">
        <v>8</v>
      </c>
      <c r="G12" s="129" t="n"/>
      <c r="H12" s="132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T12" s="127" t="n"/>
      <c r="U12" s="127" t="n">
        <v>11</v>
      </c>
      <c r="V12" s="127" t="n">
        <v>9</v>
      </c>
      <c r="W12" s="127" t="n">
        <v>9</v>
      </c>
      <c r="X12" s="127" t="inlineStr"/>
      <c r="Y12" s="127" t="inlineStr"/>
      <c r="Z12" s="127" t="inlineStr"/>
      <c r="AA12" s="127" t="inlineStr"/>
      <c r="AB12" s="254" t="n">
        <v>9.699999999999999</v>
      </c>
      <c r="AC12" s="127" t="inlineStr">
        <is>
          <t>B+</t>
        </is>
      </c>
    </row>
    <row r="13" ht="20" customHeight="1">
      <c r="A13" s="129" t="n">
        <v>10</v>
      </c>
      <c r="B13" s="119" t="inlineStr">
        <is>
          <t>นาย</t>
        </is>
      </c>
      <c r="C13" s="119" t="inlineStr">
        <is>
          <t>ชยันต์</t>
        </is>
      </c>
      <c r="D13" s="119" t="inlineStr">
        <is>
          <t>บุญจันทร์</t>
        </is>
      </c>
      <c r="E13" s="129" t="n"/>
      <c r="F13" s="129" t="n">
        <v>7</v>
      </c>
      <c r="G13" s="129" t="n"/>
      <c r="H13" s="132" t="n"/>
      <c r="I13" s="129" t="n"/>
      <c r="J13" s="129" t="n">
        <v>8</v>
      </c>
      <c r="K13" s="129" t="n">
        <v>8</v>
      </c>
      <c r="L13" s="129" t="n">
        <v>9</v>
      </c>
      <c r="M13" s="129" t="n"/>
      <c r="N13" s="129" t="n"/>
      <c r="O13" s="129" t="n"/>
      <c r="P13" s="129" t="n"/>
      <c r="Q13" s="129" t="n"/>
      <c r="T13" s="127" t="inlineStr">
        <is>
          <t>A</t>
        </is>
      </c>
      <c r="U13" s="127" t="inlineStr"/>
      <c r="V13" s="127" t="inlineStr"/>
      <c r="W13" s="127" t="inlineStr"/>
      <c r="X13" s="127" t="inlineStr"/>
      <c r="Y13" s="127" t="inlineStr"/>
      <c r="Z13" s="127" t="inlineStr"/>
      <c r="AA13" s="127" t="n">
        <v>12</v>
      </c>
      <c r="AB13" s="254" t="n">
        <v>12</v>
      </c>
      <c r="AC13" s="127" t="inlineStr">
        <is>
          <t>A</t>
        </is>
      </c>
    </row>
    <row r="14" ht="20" customHeight="1">
      <c r="A14" s="129" t="n">
        <v>11</v>
      </c>
      <c r="B14" s="119" t="inlineStr">
        <is>
          <t>นาง</t>
        </is>
      </c>
      <c r="C14" s="119" t="inlineStr">
        <is>
          <t>ชุติมา</t>
        </is>
      </c>
      <c r="D14" s="119" t="inlineStr">
        <is>
          <t>นวลศรีไพร</t>
        </is>
      </c>
      <c r="E14" s="130" t="n"/>
      <c r="F14" s="130" t="n">
        <v>9</v>
      </c>
      <c r="G14" s="130" t="n"/>
      <c r="H14" s="132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T14" s="127" t="inlineStr">
        <is>
          <t>A</t>
        </is>
      </c>
      <c r="U14" s="127" t="inlineStr"/>
      <c r="V14" s="127" t="inlineStr"/>
      <c r="W14" s="127" t="inlineStr"/>
      <c r="X14" s="127" t="inlineStr"/>
      <c r="Y14" s="127" t="inlineStr"/>
      <c r="Z14" s="127" t="inlineStr"/>
      <c r="AA14" s="127" t="n">
        <v>12</v>
      </c>
      <c r="AB14" s="254" t="n">
        <v>12</v>
      </c>
      <c r="AC14" s="127" t="inlineStr">
        <is>
          <t>A</t>
        </is>
      </c>
    </row>
    <row r="15" ht="20" customHeight="1">
      <c r="A15" s="129" t="n">
        <v>12</v>
      </c>
      <c r="B15" s="119" t="inlineStr">
        <is>
          <t>นาย</t>
        </is>
      </c>
      <c r="C15" s="119" t="inlineStr">
        <is>
          <t>ชูชาติ</t>
        </is>
      </c>
      <c r="D15" s="119" t="inlineStr">
        <is>
          <t>ไหมทอง</t>
        </is>
      </c>
      <c r="E15" s="129" t="n"/>
      <c r="F15" s="129" t="n"/>
      <c r="G15" s="129" t="n"/>
      <c r="H15" s="132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T15" s="127" t="inlineStr">
        <is>
          <t>A</t>
        </is>
      </c>
      <c r="U15" s="127" t="inlineStr"/>
      <c r="V15" s="127" t="inlineStr"/>
      <c r="W15" s="127" t="inlineStr"/>
      <c r="X15" s="127" t="inlineStr"/>
      <c r="Y15" s="127" t="inlineStr"/>
      <c r="Z15" s="127" t="inlineStr"/>
      <c r="AA15" s="127" t="n">
        <v>12</v>
      </c>
      <c r="AB15" s="254" t="n">
        <v>12</v>
      </c>
      <c r="AC15" s="127" t="inlineStr">
        <is>
          <t>A</t>
        </is>
      </c>
    </row>
    <row r="16" ht="20" customHeight="1">
      <c r="A16" s="129" t="n">
        <v>14</v>
      </c>
      <c r="B16" s="119" t="inlineStr">
        <is>
          <t>นาย</t>
        </is>
      </c>
      <c r="C16" s="119" t="inlineStr">
        <is>
          <t>ณรงค์</t>
        </is>
      </c>
      <c r="D16" s="119" t="inlineStr">
        <is>
          <t>เปี่ยมสิน</t>
        </is>
      </c>
      <c r="E16" s="129" t="n"/>
      <c r="F16" s="129" t="n">
        <v>9</v>
      </c>
      <c r="G16" s="129" t="n"/>
      <c r="H16" s="132" t="n"/>
      <c r="I16" s="129" t="n"/>
      <c r="J16" s="129" t="n">
        <v>8</v>
      </c>
      <c r="K16" s="129" t="n">
        <v>8</v>
      </c>
      <c r="L16" s="129" t="n">
        <v>10</v>
      </c>
      <c r="M16" s="129" t="n"/>
      <c r="N16" s="129" t="n"/>
      <c r="O16" s="129" t="n"/>
      <c r="P16" s="129" t="n"/>
      <c r="Q16" s="129" t="n"/>
      <c r="T16" s="127" t="inlineStr">
        <is>
          <t>A</t>
        </is>
      </c>
      <c r="U16" s="127" t="inlineStr"/>
      <c r="V16" s="127" t="inlineStr"/>
      <c r="W16" s="127" t="inlineStr"/>
      <c r="X16" s="127" t="inlineStr"/>
      <c r="Y16" s="127" t="inlineStr"/>
      <c r="Z16" s="127" t="inlineStr"/>
      <c r="AA16" s="127" t="n">
        <v>12</v>
      </c>
      <c r="AB16" s="254" t="n">
        <v>12</v>
      </c>
      <c r="AC16" s="127" t="inlineStr">
        <is>
          <t>A</t>
        </is>
      </c>
    </row>
    <row r="17" ht="20" customHeight="1">
      <c r="A17" s="129" t="n">
        <v>15</v>
      </c>
      <c r="B17" s="119" t="inlineStr">
        <is>
          <t>นาย</t>
        </is>
      </c>
      <c r="C17" s="119" t="inlineStr">
        <is>
          <t>ณวัศพงษ์</t>
        </is>
      </c>
      <c r="D17" s="119" t="inlineStr">
        <is>
          <t>สิทธิวิโรฒโภคิน</t>
        </is>
      </c>
      <c r="E17" s="129" t="n"/>
      <c r="F17" s="129" t="n">
        <v>9</v>
      </c>
      <c r="G17" s="129" t="n"/>
      <c r="H17" s="132" t="n"/>
      <c r="I17" s="129" t="n"/>
      <c r="J17" s="129" t="n">
        <v>8</v>
      </c>
      <c r="K17" s="129" t="n">
        <v>8</v>
      </c>
      <c r="L17" s="129" t="n">
        <v>10</v>
      </c>
      <c r="M17" s="129" t="n"/>
      <c r="N17" s="129" t="n"/>
      <c r="O17" s="129" t="n"/>
      <c r="P17" s="129" t="n"/>
      <c r="Q17" s="129" t="n"/>
    </row>
    <row r="18" ht="20" customHeight="1">
      <c r="A18" s="129" t="n">
        <v>16</v>
      </c>
      <c r="B18" s="119" t="inlineStr">
        <is>
          <t>นาย</t>
        </is>
      </c>
      <c r="C18" s="119" t="inlineStr">
        <is>
          <t>ณัฐวุฒิ</t>
        </is>
      </c>
      <c r="D18" s="119" t="inlineStr">
        <is>
          <t>กุลแจ</t>
        </is>
      </c>
      <c r="E18" s="129" t="n"/>
      <c r="F18" s="129" t="n">
        <v>8</v>
      </c>
      <c r="G18" s="129" t="n"/>
      <c r="H18" s="132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>
        <v>10</v>
      </c>
    </row>
    <row r="19" ht="20" customHeight="1">
      <c r="A19" s="129" t="n">
        <v>17</v>
      </c>
      <c r="B19" s="119" t="inlineStr">
        <is>
          <t>นาย</t>
        </is>
      </c>
      <c r="C19" s="119" t="inlineStr">
        <is>
          <t>ดนัย</t>
        </is>
      </c>
      <c r="D19" s="119" t="inlineStr">
        <is>
          <t>ทองชื่น</t>
        </is>
      </c>
      <c r="E19" s="129" t="n"/>
      <c r="F19" s="129" t="n">
        <v>8</v>
      </c>
      <c r="G19" s="129" t="n"/>
      <c r="H19" s="132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>
        <v>8</v>
      </c>
    </row>
    <row r="20" ht="20" customHeight="1">
      <c r="A20" s="129" t="n">
        <v>18</v>
      </c>
      <c r="B20" s="119" t="inlineStr">
        <is>
          <t>นาย</t>
        </is>
      </c>
      <c r="C20" s="119" t="inlineStr">
        <is>
          <t>ติ่ง</t>
        </is>
      </c>
      <c r="D20" s="119" t="inlineStr">
        <is>
          <t>นาคสังข์</t>
        </is>
      </c>
      <c r="E20" s="129" t="n"/>
      <c r="F20" s="129" t="n"/>
      <c r="G20" s="129" t="n"/>
      <c r="H20" s="132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</row>
    <row r="21" ht="20" customHeight="1">
      <c r="A21" s="129" t="n">
        <v>19</v>
      </c>
      <c r="B21" s="119" t="inlineStr">
        <is>
          <t>นาย</t>
        </is>
      </c>
      <c r="C21" s="119" t="inlineStr">
        <is>
          <t>ทิม</t>
        </is>
      </c>
      <c r="D21" s="119" t="inlineStr">
        <is>
          <t>บุญมาทัน</t>
        </is>
      </c>
      <c r="E21" s="129" t="n"/>
      <c r="F21" s="129" t="n"/>
      <c r="G21" s="129" t="n"/>
      <c r="H21" s="132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</row>
    <row r="22" ht="20" customHeight="1">
      <c r="A22" s="129" t="n">
        <v>20</v>
      </c>
      <c r="B22" s="119" t="inlineStr">
        <is>
          <t>นาย</t>
        </is>
      </c>
      <c r="C22" s="119" t="inlineStr">
        <is>
          <t>ธงชัย</t>
        </is>
      </c>
      <c r="D22" s="119" t="inlineStr">
        <is>
          <t>โพธิ์หิรัญ</t>
        </is>
      </c>
      <c r="E22" s="202" t="n"/>
      <c r="F22" s="202" t="n">
        <v>9</v>
      </c>
      <c r="G22" s="129" t="n"/>
      <c r="H22" s="132" t="n"/>
      <c r="I22" s="120" t="n"/>
      <c r="J22" s="120" t="n"/>
      <c r="K22" s="120" t="n"/>
      <c r="L22" s="120" t="n"/>
      <c r="M22" s="120" t="n">
        <v>10</v>
      </c>
      <c r="N22" s="120" t="n">
        <v>7</v>
      </c>
      <c r="O22" s="120" t="n">
        <v>8</v>
      </c>
      <c r="P22" s="120" t="n"/>
      <c r="Q22" s="120" t="n"/>
    </row>
    <row r="23" ht="20" customHeight="1">
      <c r="A23" s="129" t="n">
        <v>21</v>
      </c>
      <c r="B23" s="119" t="inlineStr">
        <is>
          <t>นาย</t>
        </is>
      </c>
      <c r="C23" s="119" t="inlineStr">
        <is>
          <t>ธนงค์พร</t>
        </is>
      </c>
      <c r="D23" s="119" t="inlineStr">
        <is>
          <t>อ่อนคำ</t>
        </is>
      </c>
      <c r="E23" s="129" t="n"/>
      <c r="F23" s="129" t="n">
        <v>5</v>
      </c>
      <c r="G23" s="129" t="n"/>
      <c r="H23" s="132" t="n"/>
      <c r="I23" s="129" t="n"/>
      <c r="J23" s="129" t="n"/>
      <c r="K23" s="129" t="n"/>
      <c r="L23" s="129" t="n"/>
      <c r="M23" s="129" t="n">
        <v>8</v>
      </c>
      <c r="N23" s="129" t="n">
        <v>6</v>
      </c>
      <c r="O23" s="129" t="n">
        <v>6</v>
      </c>
      <c r="P23" s="129" t="n"/>
      <c r="Q23" s="129" t="n"/>
    </row>
    <row r="24" ht="20" customHeight="1">
      <c r="A24" s="129" t="n">
        <v>22</v>
      </c>
      <c r="B24" s="119" t="inlineStr">
        <is>
          <t>นาย</t>
        </is>
      </c>
      <c r="C24" s="119" t="inlineStr">
        <is>
          <t>นิรุต</t>
        </is>
      </c>
      <c r="D24" s="119" t="inlineStr">
        <is>
          <t>นาคสังข์</t>
        </is>
      </c>
      <c r="E24" s="129" t="n"/>
      <c r="F24" s="202" t="n">
        <v>7</v>
      </c>
      <c r="G24" s="129" t="n"/>
      <c r="H24" s="132" t="n"/>
      <c r="I24" s="129" t="n"/>
      <c r="J24" s="129" t="n"/>
      <c r="K24" s="129" t="n"/>
      <c r="L24" s="129" t="n"/>
      <c r="M24" s="129" t="n">
        <v>10</v>
      </c>
      <c r="N24" s="129" t="n">
        <v>8</v>
      </c>
      <c r="O24" s="129" t="n">
        <v>8</v>
      </c>
      <c r="P24" s="129" t="n"/>
      <c r="Q24" s="129" t="n"/>
    </row>
    <row r="25" ht="20" customHeight="1">
      <c r="A25" s="129" t="n">
        <v>23</v>
      </c>
      <c r="B25" s="119" t="inlineStr">
        <is>
          <t>นาย</t>
        </is>
      </c>
      <c r="C25" s="119" t="inlineStr">
        <is>
          <t>บัดกรี</t>
        </is>
      </c>
      <c r="D25" s="119" t="inlineStr">
        <is>
          <t>แถวอุทุม</t>
        </is>
      </c>
      <c r="E25" s="129" t="n"/>
      <c r="F25" s="129" t="n"/>
      <c r="G25" s="129" t="n"/>
      <c r="H25" s="132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</row>
    <row r="26" ht="20" customHeight="1">
      <c r="A26" s="129" t="n">
        <v>25</v>
      </c>
      <c r="B26" s="119" t="inlineStr">
        <is>
          <t>นาย</t>
        </is>
      </c>
      <c r="C26" s="119" t="inlineStr">
        <is>
          <t>บุญส่ง</t>
        </is>
      </c>
      <c r="D26" s="119" t="inlineStr">
        <is>
          <t>ดวงเหม</t>
        </is>
      </c>
      <c r="E26" s="129" t="n"/>
      <c r="F26" s="202" t="n">
        <v>9</v>
      </c>
      <c r="G26" s="129" t="n"/>
      <c r="H26" s="132" t="n"/>
      <c r="I26" s="129" t="n"/>
      <c r="J26" s="129" t="n">
        <v>7</v>
      </c>
      <c r="K26" s="129" t="n">
        <v>8</v>
      </c>
      <c r="L26" s="202" t="n">
        <v>9</v>
      </c>
      <c r="M26" s="129" t="n"/>
      <c r="N26" s="129" t="n"/>
      <c r="O26" s="129" t="n"/>
      <c r="P26" s="129" t="n"/>
      <c r="Q26" s="129" t="n"/>
    </row>
    <row r="27" ht="20" customHeight="1">
      <c r="A27" s="129" t="n">
        <v>26</v>
      </c>
      <c r="B27" s="119" t="inlineStr">
        <is>
          <t>นาย</t>
        </is>
      </c>
      <c r="C27" s="119" t="inlineStr">
        <is>
          <t>ประชา</t>
        </is>
      </c>
      <c r="D27" s="119" t="inlineStr">
        <is>
          <t>วรวงษ์</t>
        </is>
      </c>
      <c r="E27" s="129" t="n"/>
      <c r="F27" s="129" t="n">
        <v>4</v>
      </c>
      <c r="G27" s="129" t="n"/>
      <c r="H27" s="132" t="n"/>
      <c r="I27" s="129" t="n"/>
      <c r="J27" s="129" t="n"/>
      <c r="K27" s="129" t="n"/>
      <c r="L27" s="129" t="n"/>
      <c r="M27" s="129" t="n">
        <v>8</v>
      </c>
      <c r="N27" s="129" t="n">
        <v>6</v>
      </c>
      <c r="O27" s="129" t="n">
        <v>6</v>
      </c>
      <c r="P27" s="129" t="n"/>
      <c r="Q27" s="129" t="n"/>
    </row>
    <row r="28" ht="20" customHeight="1">
      <c r="A28" s="129" t="n">
        <v>27</v>
      </c>
      <c r="B28" s="119" t="inlineStr">
        <is>
          <t>นาย</t>
        </is>
      </c>
      <c r="C28" s="119" t="inlineStr">
        <is>
          <t>พัชรวัฒน์</t>
        </is>
      </c>
      <c r="D28" s="119" t="inlineStr">
        <is>
          <t>สิทธิวิโรฒโภคิน</t>
        </is>
      </c>
      <c r="E28" s="129" t="n"/>
      <c r="F28" s="129" t="n"/>
      <c r="G28" s="129" t="n"/>
      <c r="H28" s="132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</row>
    <row r="29" ht="20" customHeight="1">
      <c r="A29" s="129" t="n">
        <v>28</v>
      </c>
      <c r="B29" s="119" t="inlineStr">
        <is>
          <t>นาย</t>
        </is>
      </c>
      <c r="C29" s="119" t="inlineStr">
        <is>
          <t>ไพฑูรย์</t>
        </is>
      </c>
      <c r="D29" s="119" t="inlineStr">
        <is>
          <t>ป้องเรือ</t>
        </is>
      </c>
      <c r="E29" s="129" t="n"/>
      <c r="F29" s="129" t="n"/>
      <c r="G29" s="129" t="n"/>
      <c r="H29" s="132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</row>
    <row r="30" ht="20" customHeight="1">
      <c r="A30" s="129" t="n">
        <v>29</v>
      </c>
      <c r="B30" s="119" t="inlineStr">
        <is>
          <t>นาย</t>
        </is>
      </c>
      <c r="C30" s="119" t="inlineStr">
        <is>
          <t>มนิต</t>
        </is>
      </c>
      <c r="D30" s="119" t="inlineStr">
        <is>
          <t>เปี่ยมศิลป์</t>
        </is>
      </c>
      <c r="E30" s="129" t="n"/>
      <c r="F30" s="129" t="n"/>
      <c r="G30" s="129" t="n">
        <v>6</v>
      </c>
      <c r="H30" s="132" t="inlineStr">
        <is>
          <t>7</t>
        </is>
      </c>
      <c r="I30" s="129" t="n">
        <v>6</v>
      </c>
      <c r="J30" s="129" t="n"/>
      <c r="K30" s="129" t="n"/>
      <c r="L30" s="129" t="n"/>
      <c r="M30" s="129" t="n"/>
      <c r="N30" s="129" t="n"/>
      <c r="O30" s="129" t="n"/>
      <c r="P30" s="129" t="n"/>
      <c r="Q30" s="129" t="n"/>
    </row>
    <row r="31" ht="20" customHeight="1">
      <c r="A31" s="129" t="n">
        <v>32</v>
      </c>
      <c r="B31" s="119" t="inlineStr">
        <is>
          <t>นาย</t>
        </is>
      </c>
      <c r="C31" s="119" t="inlineStr">
        <is>
          <t>วิทูรย์</t>
        </is>
      </c>
      <c r="D31" s="119" t="inlineStr">
        <is>
          <t>ทองชื่น</t>
        </is>
      </c>
      <c r="E31" s="129" t="n"/>
      <c r="F31" s="129" t="n">
        <v>5</v>
      </c>
      <c r="G31" s="129" t="n"/>
      <c r="H31" s="132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</row>
    <row r="32" ht="20" customHeight="1">
      <c r="A32" s="129" t="n">
        <v>33</v>
      </c>
      <c r="B32" s="119" t="inlineStr">
        <is>
          <t>นาย</t>
        </is>
      </c>
      <c r="C32" s="119" t="inlineStr">
        <is>
          <t>เวียง</t>
        </is>
      </c>
      <c r="D32" s="119" t="inlineStr">
        <is>
          <t>น้ำทิพย์</t>
        </is>
      </c>
      <c r="E32" s="129" t="n"/>
      <c r="F32" s="129" t="n">
        <v>7</v>
      </c>
      <c r="G32" s="129" t="n"/>
      <c r="H32" s="132" t="n"/>
      <c r="I32" s="129" t="n"/>
      <c r="J32" s="129" t="n">
        <v>6</v>
      </c>
      <c r="K32" s="129" t="n">
        <v>8</v>
      </c>
      <c r="L32" s="129" t="n">
        <v>8</v>
      </c>
      <c r="M32" s="129" t="n"/>
      <c r="N32" s="129" t="n"/>
      <c r="O32" s="129" t="n"/>
      <c r="P32" s="129" t="n"/>
      <c r="Q32" s="129" t="n"/>
    </row>
    <row r="33" ht="20" customHeight="1">
      <c r="A33" s="129" t="n">
        <v>35</v>
      </c>
      <c r="B33" s="201" t="inlineStr">
        <is>
          <t>นาย</t>
        </is>
      </c>
      <c r="C33" s="201" t="inlineStr">
        <is>
          <t>สมพงษ์</t>
        </is>
      </c>
      <c r="D33" s="201" t="inlineStr">
        <is>
          <t>พึ่งแย้ม</t>
        </is>
      </c>
      <c r="E33" s="202" t="n"/>
      <c r="F33" s="129" t="n"/>
      <c r="G33" s="129" t="n"/>
      <c r="H33" s="132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</row>
    <row r="34" ht="20" customHeight="1">
      <c r="A34" s="129" t="n">
        <v>36</v>
      </c>
      <c r="B34" s="201" t="inlineStr">
        <is>
          <t>นาย</t>
        </is>
      </c>
      <c r="C34" s="201" t="inlineStr">
        <is>
          <t>สมพงษ์</t>
        </is>
      </c>
      <c r="D34" s="201" t="inlineStr">
        <is>
          <t>สิงห์พันธ์ม่วง</t>
        </is>
      </c>
      <c r="E34" s="202" t="n"/>
      <c r="F34" s="129" t="n">
        <v>3</v>
      </c>
      <c r="G34" s="129" t="n"/>
      <c r="H34" s="132" t="n"/>
      <c r="I34" s="129" t="n"/>
      <c r="J34" s="129" t="n"/>
      <c r="K34" s="129" t="n"/>
      <c r="L34" s="129" t="n"/>
      <c r="M34" s="129" t="n"/>
      <c r="N34" s="129" t="n"/>
      <c r="O34" s="129" t="n"/>
      <c r="P34" s="202" t="n"/>
      <c r="Q34" s="202" t="n">
        <v>5</v>
      </c>
    </row>
    <row r="35" ht="20" customHeight="1">
      <c r="A35" s="129" t="n">
        <v>37</v>
      </c>
      <c r="B35" s="119" t="inlineStr">
        <is>
          <t>นาย</t>
        </is>
      </c>
      <c r="C35" s="119" t="inlineStr">
        <is>
          <t>สังวาลย์</t>
        </is>
      </c>
      <c r="D35" s="119" t="inlineStr">
        <is>
          <t>เพ็งผล</t>
        </is>
      </c>
      <c r="E35" s="129" t="n"/>
      <c r="F35" s="129" t="n">
        <v>6</v>
      </c>
      <c r="G35" s="129" t="n"/>
      <c r="H35" s="132" t="n"/>
      <c r="I35" s="129" t="n"/>
      <c r="J35" s="129" t="n">
        <v>7</v>
      </c>
      <c r="K35" s="129" t="n">
        <v>8</v>
      </c>
      <c r="L35" s="129" t="n">
        <v>8</v>
      </c>
      <c r="M35" s="129" t="n"/>
      <c r="N35" s="129" t="n"/>
      <c r="O35" s="129" t="n"/>
      <c r="P35" s="129" t="n"/>
      <c r="Q35" s="129" t="n"/>
    </row>
    <row r="36" ht="20" customHeight="1">
      <c r="A36" s="129" t="n">
        <v>38</v>
      </c>
      <c r="B36" s="119" t="inlineStr">
        <is>
          <t>นาย</t>
        </is>
      </c>
      <c r="C36" s="119" t="inlineStr">
        <is>
          <t>สาธิต</t>
        </is>
      </c>
      <c r="D36" s="119" t="inlineStr">
        <is>
          <t>คล้ายสอน</t>
        </is>
      </c>
      <c r="E36" s="129" t="n"/>
      <c r="F36" s="129" t="n"/>
      <c r="G36" s="129" t="n"/>
      <c r="H36" s="132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</row>
    <row r="37" ht="20" customHeight="1">
      <c r="A37" s="129" t="n">
        <v>39</v>
      </c>
      <c r="B37" s="119" t="inlineStr">
        <is>
          <t>นาย</t>
        </is>
      </c>
      <c r="C37" s="119" t="inlineStr">
        <is>
          <t>สำเนา</t>
        </is>
      </c>
      <c r="D37" s="119" t="inlineStr">
        <is>
          <t>เอี่ยมสะอาด</t>
        </is>
      </c>
      <c r="E37" s="129" t="n"/>
      <c r="F37" s="129" t="n">
        <v>8</v>
      </c>
      <c r="G37" s="129" t="n"/>
      <c r="H37" s="132" t="n"/>
      <c r="I37" s="129" t="n"/>
      <c r="J37" s="129" t="n"/>
      <c r="K37" s="129" t="n"/>
      <c r="L37" s="129" t="n"/>
      <c r="M37" s="129" t="n">
        <v>10</v>
      </c>
      <c r="N37" s="129" t="n">
        <v>8</v>
      </c>
      <c r="O37" s="202" t="n">
        <v>8</v>
      </c>
      <c r="P37" s="129" t="n"/>
      <c r="Q37" s="129" t="n"/>
    </row>
    <row r="38" ht="20" customHeight="1">
      <c r="A38" s="129" t="n">
        <v>40</v>
      </c>
      <c r="B38" s="119" t="inlineStr">
        <is>
          <t>นาย</t>
        </is>
      </c>
      <c r="C38" s="119" t="inlineStr">
        <is>
          <t>สำราญ</t>
        </is>
      </c>
      <c r="D38" s="119" t="inlineStr">
        <is>
          <t>เข็มเงิน</t>
        </is>
      </c>
      <c r="E38" s="129" t="n"/>
      <c r="F38" s="129" t="n"/>
      <c r="G38" s="129" t="n"/>
      <c r="H38" s="132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</row>
    <row r="39" ht="20" customHeight="1">
      <c r="A39" s="129" t="n">
        <v>41</v>
      </c>
      <c r="B39" s="119" t="inlineStr">
        <is>
          <t>นาย</t>
        </is>
      </c>
      <c r="C39" s="119" t="inlineStr">
        <is>
          <t>สุชัย</t>
        </is>
      </c>
      <c r="D39" s="119" t="inlineStr">
        <is>
          <t>ใจเย็น</t>
        </is>
      </c>
      <c r="E39" s="129" t="n"/>
      <c r="F39" s="129" t="n">
        <v>8</v>
      </c>
      <c r="G39" s="129" t="n"/>
      <c r="H39" s="132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>
        <v>9</v>
      </c>
    </row>
    <row r="40" ht="20" customHeight="1">
      <c r="A40" s="129" t="n">
        <v>42</v>
      </c>
      <c r="B40" s="119" t="inlineStr">
        <is>
          <t>นาย</t>
        </is>
      </c>
      <c r="C40" s="119" t="inlineStr">
        <is>
          <t>สุทน</t>
        </is>
      </c>
      <c r="D40" s="119" t="inlineStr">
        <is>
          <t>ธัญญเจริญ</t>
        </is>
      </c>
      <c r="E40" s="129" t="n"/>
      <c r="F40" s="129" t="n">
        <v>9</v>
      </c>
      <c r="G40" s="129" t="n"/>
      <c r="H40" s="132" t="n"/>
      <c r="I40" s="129" t="n"/>
      <c r="J40" s="129" t="n">
        <v>6</v>
      </c>
      <c r="K40" s="129" t="n">
        <v>8</v>
      </c>
      <c r="L40" s="129" t="n">
        <v>9</v>
      </c>
      <c r="M40" s="129" t="n"/>
      <c r="N40" s="129" t="n"/>
      <c r="O40" s="129" t="n"/>
      <c r="P40" s="129" t="n"/>
      <c r="Q40" s="129" t="n"/>
    </row>
    <row r="41" ht="20" customHeight="1">
      <c r="A41" s="129" t="n">
        <v>43</v>
      </c>
      <c r="B41" s="119" t="inlineStr">
        <is>
          <t>นาง</t>
        </is>
      </c>
      <c r="C41" s="119" t="inlineStr">
        <is>
          <t>สุนีย์</t>
        </is>
      </c>
      <c r="D41" s="119" t="inlineStr">
        <is>
          <t>นาคสังข์</t>
        </is>
      </c>
      <c r="E41" s="129" t="n"/>
      <c r="F41" s="129" t="n"/>
      <c r="G41" s="129" t="n">
        <v>5</v>
      </c>
      <c r="H41" s="129" t="n">
        <v>5</v>
      </c>
      <c r="I41" s="129" t="n">
        <v>6</v>
      </c>
      <c r="J41" s="129" t="n"/>
      <c r="K41" s="129" t="n"/>
      <c r="L41" s="129" t="n"/>
      <c r="M41" s="129" t="n"/>
      <c r="N41" s="129" t="n"/>
      <c r="O41" s="129" t="n"/>
      <c r="P41" s="129" t="n"/>
      <c r="Q41" s="129" t="n"/>
    </row>
    <row r="42" ht="20" customHeight="1">
      <c r="A42" s="129" t="n">
        <v>44</v>
      </c>
      <c r="B42" s="119" t="inlineStr">
        <is>
          <t>นาย</t>
        </is>
      </c>
      <c r="C42" s="119" t="inlineStr">
        <is>
          <t>สุวิชา</t>
        </is>
      </c>
      <c r="D42" s="119" t="inlineStr">
        <is>
          <t>จ้อยชู</t>
        </is>
      </c>
      <c r="E42" s="129" t="n"/>
      <c r="F42" s="202" t="n">
        <v>9</v>
      </c>
      <c r="G42" s="129" t="n"/>
      <c r="H42" s="132" t="n"/>
      <c r="I42" s="129" t="n"/>
      <c r="J42" s="129" t="n">
        <v>7</v>
      </c>
      <c r="K42" s="129" t="n">
        <v>8</v>
      </c>
      <c r="L42" s="202" t="n">
        <v>10</v>
      </c>
      <c r="M42" s="129" t="n"/>
      <c r="N42" s="129" t="n"/>
      <c r="O42" s="129" t="n"/>
      <c r="P42" s="129" t="n"/>
      <c r="Q42" s="129" t="n"/>
    </row>
    <row r="43" ht="20" customHeight="1">
      <c r="A43" s="129" t="n">
        <v>45</v>
      </c>
      <c r="B43" s="119" t="inlineStr">
        <is>
          <t>นาย</t>
        </is>
      </c>
      <c r="C43" s="119" t="inlineStr">
        <is>
          <t>สุวิทย์</t>
        </is>
      </c>
      <c r="D43" s="119" t="inlineStr">
        <is>
          <t>โฮมแพน</t>
        </is>
      </c>
      <c r="E43" s="129" t="n"/>
      <c r="F43" s="202" t="n">
        <v>9</v>
      </c>
      <c r="G43" s="129" t="n"/>
      <c r="H43" s="132" t="n"/>
      <c r="I43" s="129" t="n"/>
      <c r="J43" s="129" t="n"/>
      <c r="K43" s="129" t="n"/>
      <c r="L43" s="129" t="n"/>
      <c r="M43" s="129" t="n">
        <v>9</v>
      </c>
      <c r="N43" s="129" t="n">
        <v>7</v>
      </c>
      <c r="O43" s="129" t="n">
        <v>7</v>
      </c>
      <c r="P43" s="129" t="n"/>
      <c r="Q43" s="129" t="n"/>
    </row>
    <row r="44" ht="20" customHeight="1">
      <c r="A44" s="129" t="n">
        <v>46</v>
      </c>
      <c r="B44" s="119" t="inlineStr">
        <is>
          <t>นาย</t>
        </is>
      </c>
      <c r="C44" s="119" t="inlineStr">
        <is>
          <t>อภิเชษฐ์</t>
        </is>
      </c>
      <c r="D44" s="119" t="inlineStr">
        <is>
          <t>ทั่งทอง</t>
        </is>
      </c>
      <c r="E44" s="129" t="n"/>
      <c r="F44" s="202" t="n">
        <v>9</v>
      </c>
      <c r="G44" s="129" t="n"/>
      <c r="H44" s="132" t="n"/>
      <c r="I44" s="129" t="n"/>
      <c r="J44" s="202" t="n">
        <v>7</v>
      </c>
      <c r="K44" s="129" t="n">
        <v>8</v>
      </c>
      <c r="L44" s="202" t="n">
        <v>9</v>
      </c>
      <c r="M44" s="129" t="n"/>
      <c r="N44" s="129" t="n"/>
      <c r="O44" s="129" t="n"/>
      <c r="P44" s="129" t="n"/>
      <c r="Q44" s="129" t="n"/>
    </row>
    <row r="45" ht="20" customHeight="1">
      <c r="A45" s="129" t="n">
        <v>47</v>
      </c>
      <c r="B45" s="119" t="inlineStr">
        <is>
          <t>นาย</t>
        </is>
      </c>
      <c r="C45" s="119" t="inlineStr">
        <is>
          <t>อำนวย</t>
        </is>
      </c>
      <c r="D45" s="119" t="inlineStr">
        <is>
          <t>อ่อนคำ</t>
        </is>
      </c>
      <c r="E45" s="129" t="n"/>
      <c r="F45" s="129" t="n">
        <v>7</v>
      </c>
      <c r="G45" s="129" t="n"/>
      <c r="H45" s="132" t="n"/>
      <c r="I45" s="129" t="n"/>
      <c r="J45" s="202" t="n">
        <v>7</v>
      </c>
      <c r="K45" s="129" t="n">
        <v>8</v>
      </c>
      <c r="L45" s="202" t="n">
        <v>10</v>
      </c>
      <c r="M45" s="129" t="n"/>
      <c r="N45" s="129" t="n"/>
      <c r="O45" s="129" t="n"/>
      <c r="P45" s="129" t="n"/>
      <c r="Q45" s="129" t="n"/>
    </row>
    <row r="46" ht="20" customHeight="1">
      <c r="A46" s="129" t="n">
        <v>49</v>
      </c>
      <c r="B46" s="119" t="inlineStr">
        <is>
          <t>นาย</t>
        </is>
      </c>
      <c r="C46" s="119" t="inlineStr">
        <is>
          <t>กิตติศักดิ์</t>
        </is>
      </c>
      <c r="D46" s="119" t="inlineStr">
        <is>
          <t>นวลศรีไพร</t>
        </is>
      </c>
      <c r="E46" s="129" t="n"/>
      <c r="F46" s="129" t="n"/>
      <c r="G46" s="129" t="n">
        <v>5</v>
      </c>
      <c r="H46" s="132" t="inlineStr">
        <is>
          <t>5</t>
        </is>
      </c>
      <c r="I46" s="129" t="n">
        <v>6</v>
      </c>
      <c r="J46" s="129" t="n"/>
      <c r="K46" s="129" t="n"/>
      <c r="L46" s="129" t="n"/>
      <c r="M46" s="129" t="n"/>
      <c r="N46" s="129" t="n"/>
      <c r="O46" s="129" t="n"/>
      <c r="P46" s="129" t="n"/>
      <c r="Q46" s="129" t="n"/>
    </row>
    <row r="47" ht="20" customHeight="1">
      <c r="A47" s="129" t="n">
        <v>50</v>
      </c>
      <c r="B47" s="119" t="inlineStr">
        <is>
          <t>น.ส.</t>
        </is>
      </c>
      <c r="C47" s="119" t="inlineStr">
        <is>
          <t>กัลยา</t>
        </is>
      </c>
      <c r="D47" s="119" t="inlineStr">
        <is>
          <t>เปี่ยมสิน</t>
        </is>
      </c>
      <c r="E47" s="129" t="n"/>
      <c r="F47" s="129" t="n"/>
      <c r="G47" s="129" t="n">
        <v>8</v>
      </c>
      <c r="H47" s="132" t="inlineStr">
        <is>
          <t>8</t>
        </is>
      </c>
      <c r="I47" s="132" t="inlineStr">
        <is>
          <t>8</t>
        </is>
      </c>
      <c r="J47" s="129" t="n"/>
      <c r="K47" s="129" t="n"/>
      <c r="L47" s="129" t="n"/>
      <c r="M47" s="129" t="n"/>
      <c r="N47" s="129" t="n"/>
      <c r="O47" s="129" t="n"/>
      <c r="P47" s="129" t="n"/>
      <c r="Q47" s="129" t="n"/>
    </row>
    <row r="48" ht="20" customHeight="1">
      <c r="A48" s="129" t="n">
        <v>51</v>
      </c>
      <c r="B48" s="119" t="inlineStr">
        <is>
          <t>นาง</t>
        </is>
      </c>
      <c r="C48" s="119" t="inlineStr">
        <is>
          <t>กัลยาภัสร์</t>
        </is>
      </c>
      <c r="D48" s="119" t="inlineStr">
        <is>
          <t>สิทธิวิโรฒโภคิน</t>
        </is>
      </c>
      <c r="E48" s="129" t="n"/>
      <c r="F48" s="129" t="n"/>
      <c r="G48" s="129" t="n">
        <v>5</v>
      </c>
      <c r="H48" s="132" t="inlineStr">
        <is>
          <t>5</t>
        </is>
      </c>
      <c r="I48" s="132" t="inlineStr">
        <is>
          <t>6</t>
        </is>
      </c>
      <c r="J48" s="129" t="n"/>
      <c r="K48" s="129" t="n"/>
      <c r="L48" s="129" t="n"/>
      <c r="M48" s="129" t="n"/>
      <c r="N48" s="129" t="n"/>
      <c r="O48" s="129" t="n"/>
      <c r="P48" s="129" t="n"/>
      <c r="Q48" s="129" t="n"/>
    </row>
    <row r="49" ht="20" customHeight="1">
      <c r="A49" s="129" t="n">
        <v>52</v>
      </c>
      <c r="B49" s="119" t="inlineStr">
        <is>
          <t>น.ส.</t>
        </is>
      </c>
      <c r="C49" s="119" t="inlineStr">
        <is>
          <t>กิ่งกาญจน์</t>
        </is>
      </c>
      <c r="D49" s="119" t="inlineStr">
        <is>
          <t>นาคสังข์</t>
        </is>
      </c>
      <c r="E49" s="129" t="n"/>
      <c r="F49" s="129" t="n"/>
      <c r="G49" s="129" t="n">
        <v>6</v>
      </c>
      <c r="H49" s="132" t="inlineStr">
        <is>
          <t>7</t>
        </is>
      </c>
      <c r="I49" s="132" t="inlineStr">
        <is>
          <t>7</t>
        </is>
      </c>
      <c r="J49" s="129" t="n"/>
      <c r="K49" s="129" t="n"/>
      <c r="L49" s="129" t="n"/>
      <c r="M49" s="129" t="n"/>
      <c r="N49" s="129" t="n"/>
      <c r="O49" s="129" t="n"/>
      <c r="P49" s="129" t="n"/>
      <c r="Q49" s="129" t="n"/>
    </row>
    <row r="50" ht="20" customHeight="1">
      <c r="A50" s="129" t="n">
        <v>53</v>
      </c>
      <c r="B50" s="119" t="inlineStr">
        <is>
          <t>น.ส.</t>
        </is>
      </c>
      <c r="C50" s="119" t="inlineStr">
        <is>
          <t>จันทร์สุรีย์</t>
        </is>
      </c>
      <c r="D50" s="119" t="inlineStr">
        <is>
          <t>เปี่ยมสิน</t>
        </is>
      </c>
      <c r="E50" s="129" t="n"/>
      <c r="F50" s="129" t="n"/>
      <c r="G50" s="129" t="n">
        <v>6</v>
      </c>
      <c r="H50" s="132" t="inlineStr">
        <is>
          <t>7</t>
        </is>
      </c>
      <c r="I50" s="132" t="inlineStr">
        <is>
          <t>6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</row>
    <row r="51" ht="20" customHeight="1">
      <c r="A51" s="129" t="n">
        <v>54</v>
      </c>
      <c r="B51" s="119" t="inlineStr">
        <is>
          <t>น.ส.</t>
        </is>
      </c>
      <c r="C51" s="119" t="inlineStr">
        <is>
          <t>ชลิดา</t>
        </is>
      </c>
      <c r="D51" s="119" t="inlineStr">
        <is>
          <t>ใจชื่น</t>
        </is>
      </c>
      <c r="E51" s="129" t="n"/>
      <c r="F51" s="129" t="n"/>
      <c r="G51" s="129" t="n">
        <v>6</v>
      </c>
      <c r="H51" s="132" t="inlineStr">
        <is>
          <t>5</t>
        </is>
      </c>
      <c r="I51" s="132" t="inlineStr">
        <is>
          <t>6</t>
        </is>
      </c>
      <c r="J51" s="129" t="n"/>
      <c r="K51" s="129" t="n"/>
      <c r="L51" s="129" t="n"/>
      <c r="M51" s="129" t="n"/>
      <c r="N51" s="129" t="n"/>
      <c r="O51" s="129" t="n"/>
      <c r="P51" s="129" t="n"/>
      <c r="Q51" s="129" t="n"/>
    </row>
    <row r="52" ht="20" customHeight="1">
      <c r="A52" s="129" t="n">
        <v>56</v>
      </c>
      <c r="B52" s="119" t="inlineStr">
        <is>
          <t>นาง</t>
        </is>
      </c>
      <c r="C52" s="119" t="inlineStr">
        <is>
          <t>ตรีเนตร</t>
        </is>
      </c>
      <c r="D52" s="119" t="inlineStr">
        <is>
          <t>คูสุวรรณ์</t>
        </is>
      </c>
      <c r="E52" s="129" t="n"/>
      <c r="F52" s="129" t="n"/>
      <c r="G52" s="129" t="n">
        <v>5</v>
      </c>
      <c r="H52" s="132" t="inlineStr">
        <is>
          <t>6</t>
        </is>
      </c>
      <c r="I52" s="132" t="inlineStr">
        <is>
          <t>6</t>
        </is>
      </c>
      <c r="J52" s="129" t="n"/>
      <c r="K52" s="129" t="n"/>
      <c r="L52" s="129" t="n"/>
      <c r="M52" s="129" t="n"/>
      <c r="N52" s="129" t="n"/>
      <c r="O52" s="129" t="n"/>
      <c r="P52" s="129" t="n"/>
      <c r="Q52" s="129" t="n"/>
    </row>
    <row r="53" ht="20" customHeight="1">
      <c r="A53" s="129" t="n">
        <v>57</v>
      </c>
      <c r="B53" s="119" t="inlineStr">
        <is>
          <t>นาง</t>
        </is>
      </c>
      <c r="C53" s="119" t="inlineStr">
        <is>
          <t>นันทพร</t>
        </is>
      </c>
      <c r="D53" s="119" t="inlineStr">
        <is>
          <t>สุภาผล</t>
        </is>
      </c>
      <c r="E53" s="129" t="n"/>
      <c r="F53" s="129" t="n"/>
      <c r="G53" s="129" t="n">
        <v>7</v>
      </c>
      <c r="H53" s="132" t="inlineStr">
        <is>
          <t>6</t>
        </is>
      </c>
      <c r="I53" s="129" t="n">
        <v>5</v>
      </c>
      <c r="J53" s="129" t="n"/>
      <c r="K53" s="129" t="n"/>
      <c r="L53" s="129" t="n"/>
      <c r="M53" s="129" t="n"/>
      <c r="N53" s="129" t="n"/>
      <c r="O53" s="129" t="n"/>
      <c r="P53" s="129" t="n"/>
      <c r="Q53" s="129" t="n"/>
    </row>
    <row r="54" ht="20" customHeight="1">
      <c r="A54" s="129" t="n">
        <v>58</v>
      </c>
      <c r="B54" s="119" t="inlineStr">
        <is>
          <t>น.ส.</t>
        </is>
      </c>
      <c r="C54" s="119" t="inlineStr">
        <is>
          <t>น้ำอ้อย</t>
        </is>
      </c>
      <c r="D54" s="119" t="inlineStr">
        <is>
          <t>อุ่มแสง</t>
        </is>
      </c>
      <c r="E54" s="129" t="n"/>
      <c r="F54" s="129" t="n"/>
      <c r="G54" s="129" t="n">
        <v>6</v>
      </c>
      <c r="H54" s="132" t="inlineStr">
        <is>
          <t>8</t>
        </is>
      </c>
      <c r="I54" s="132" t="inlineStr">
        <is>
          <t>8</t>
        </is>
      </c>
      <c r="J54" s="129" t="n"/>
      <c r="K54" s="129" t="n"/>
      <c r="L54" s="129" t="n"/>
      <c r="M54" s="129" t="n"/>
      <c r="N54" s="129" t="n"/>
      <c r="O54" s="129" t="n"/>
      <c r="P54" s="129" t="n"/>
      <c r="Q54" s="129" t="n"/>
    </row>
    <row r="55" ht="20" customHeight="1">
      <c r="A55" s="129" t="n">
        <v>59</v>
      </c>
      <c r="B55" s="119" t="inlineStr">
        <is>
          <t>น.ส.</t>
        </is>
      </c>
      <c r="C55" s="119" t="inlineStr">
        <is>
          <t>ประไพ</t>
        </is>
      </c>
      <c r="D55" s="119" t="inlineStr">
        <is>
          <t>ทั่งทอง</t>
        </is>
      </c>
      <c r="E55" s="129" t="n"/>
      <c r="F55" s="129" t="n"/>
      <c r="G55" s="129" t="n">
        <v>4</v>
      </c>
      <c r="H55" s="132" t="inlineStr">
        <is>
          <t>5</t>
        </is>
      </c>
      <c r="I55" s="132" t="inlineStr">
        <is>
          <t>6</t>
        </is>
      </c>
      <c r="J55" s="129" t="n"/>
      <c r="K55" s="129" t="n"/>
      <c r="L55" s="129" t="n"/>
      <c r="M55" s="129" t="n"/>
      <c r="N55" s="129" t="n"/>
      <c r="O55" s="129" t="n"/>
      <c r="P55" s="129" t="n"/>
      <c r="Q55" s="129" t="n"/>
    </row>
    <row r="56" ht="20" customHeight="1">
      <c r="A56" s="129" t="n">
        <v>60</v>
      </c>
      <c r="B56" s="119" t="inlineStr">
        <is>
          <t>นาย</t>
        </is>
      </c>
      <c r="C56" s="119" t="inlineStr">
        <is>
          <t>ประเสริฐ</t>
        </is>
      </c>
      <c r="D56" s="119" t="inlineStr">
        <is>
          <t>กลั่นเรือง</t>
        </is>
      </c>
      <c r="E56" s="129" t="n"/>
      <c r="F56" s="129" t="n"/>
      <c r="G56" s="129" t="n">
        <v>9</v>
      </c>
      <c r="H56" s="132" t="inlineStr">
        <is>
          <t>9</t>
        </is>
      </c>
      <c r="I56" s="132" t="n"/>
      <c r="J56" s="129" t="n"/>
      <c r="K56" s="129" t="n"/>
      <c r="L56" s="129" t="n"/>
      <c r="M56" s="129" t="n"/>
      <c r="N56" s="129" t="n"/>
      <c r="O56" s="129" t="n"/>
      <c r="P56" s="129" t="n"/>
      <c r="Q56" s="129" t="n"/>
    </row>
    <row r="57" ht="20" customHeight="1">
      <c r="A57" s="129" t="n">
        <v>61</v>
      </c>
      <c r="B57" s="119" t="inlineStr">
        <is>
          <t>นาง</t>
        </is>
      </c>
      <c r="C57" s="119" t="inlineStr">
        <is>
          <t>ปาจารี</t>
        </is>
      </c>
      <c r="D57" s="119" t="inlineStr">
        <is>
          <t>สายะศิลปี</t>
        </is>
      </c>
      <c r="E57" s="129" t="n"/>
      <c r="F57" s="129" t="n"/>
      <c r="G57" s="129" t="n">
        <v>5</v>
      </c>
      <c r="H57" s="132" t="inlineStr">
        <is>
          <t>5</t>
        </is>
      </c>
      <c r="I57" s="132" t="inlineStr">
        <is>
          <t>5</t>
        </is>
      </c>
      <c r="J57" s="129" t="n"/>
      <c r="K57" s="129" t="n"/>
      <c r="L57" s="129" t="n"/>
      <c r="M57" s="129" t="n"/>
      <c r="N57" s="129" t="n"/>
      <c r="O57" s="129" t="n"/>
      <c r="P57" s="129" t="n"/>
      <c r="Q57" s="129" t="n"/>
    </row>
    <row r="58" ht="20" customHeight="1">
      <c r="A58" s="129" t="n">
        <v>62</v>
      </c>
      <c r="B58" s="119" t="inlineStr">
        <is>
          <t>น.ส.</t>
        </is>
      </c>
      <c r="C58" s="119" t="inlineStr">
        <is>
          <t>พิชิตา</t>
        </is>
      </c>
      <c r="D58" s="119" t="inlineStr">
        <is>
          <t>ทองดี</t>
        </is>
      </c>
      <c r="E58" s="129" t="n"/>
      <c r="F58" s="129" t="n"/>
      <c r="G58" s="129" t="n">
        <v>5</v>
      </c>
      <c r="H58" s="132" t="inlineStr">
        <is>
          <t>5</t>
        </is>
      </c>
      <c r="I58" s="132" t="inlineStr">
        <is>
          <t>6</t>
        </is>
      </c>
      <c r="J58" s="129" t="n"/>
      <c r="K58" s="129" t="n"/>
      <c r="L58" s="129" t="n"/>
      <c r="M58" s="129" t="n"/>
      <c r="N58" s="129" t="n"/>
      <c r="O58" s="129" t="n"/>
      <c r="P58" s="129" t="n"/>
      <c r="Q58" s="129" t="n"/>
    </row>
    <row r="59" ht="20" customHeight="1">
      <c r="A59" s="129" t="n">
        <v>63</v>
      </c>
      <c r="B59" s="119" t="inlineStr">
        <is>
          <t>นาง</t>
        </is>
      </c>
      <c r="C59" s="119" t="inlineStr">
        <is>
          <t>พิม</t>
        </is>
      </c>
      <c r="D59" s="119" t="inlineStr">
        <is>
          <t>มามี</t>
        </is>
      </c>
      <c r="E59" s="129" t="n"/>
      <c r="F59" s="129" t="n"/>
      <c r="G59" s="129" t="n">
        <v>5</v>
      </c>
      <c r="H59" s="132" t="inlineStr">
        <is>
          <t>4</t>
        </is>
      </c>
      <c r="I59" s="132" t="inlineStr">
        <is>
          <t>6</t>
        </is>
      </c>
      <c r="J59" s="129" t="n"/>
      <c r="K59" s="129" t="n"/>
      <c r="L59" s="129" t="n"/>
      <c r="M59" s="129" t="n"/>
      <c r="N59" s="129" t="n"/>
      <c r="O59" s="129" t="n"/>
      <c r="P59" s="129" t="n"/>
      <c r="Q59" s="129" t="n"/>
    </row>
    <row r="60" ht="20" customHeight="1">
      <c r="A60" s="129" t="n">
        <v>64</v>
      </c>
      <c r="B60" s="119" t="inlineStr">
        <is>
          <t>นาย</t>
        </is>
      </c>
      <c r="C60" s="119" t="inlineStr">
        <is>
          <t>ภูวนัส</t>
        </is>
      </c>
      <c r="D60" s="119" t="inlineStr">
        <is>
          <t>พานทอง</t>
        </is>
      </c>
      <c r="E60" s="129" t="n"/>
      <c r="F60" s="129" t="n"/>
      <c r="G60" s="129" t="n">
        <v>6</v>
      </c>
      <c r="H60" s="132" t="inlineStr">
        <is>
          <t>7</t>
        </is>
      </c>
      <c r="I60" s="132" t="inlineStr">
        <is>
          <t>7</t>
        </is>
      </c>
      <c r="J60" s="129" t="n"/>
      <c r="K60" s="129" t="n"/>
      <c r="L60" s="129" t="n"/>
      <c r="M60" s="129" t="n"/>
      <c r="N60" s="129" t="n"/>
      <c r="O60" s="129" t="n"/>
      <c r="P60" s="129" t="n"/>
      <c r="Q60" s="129" t="n"/>
    </row>
    <row r="61" ht="20" customHeight="1">
      <c r="A61" s="129" t="n">
        <v>65</v>
      </c>
      <c r="B61" s="119" t="inlineStr">
        <is>
          <t>น.ส.</t>
        </is>
      </c>
      <c r="C61" s="119" t="inlineStr">
        <is>
          <t>มณเฑียร</t>
        </is>
      </c>
      <c r="D61" s="119" t="inlineStr">
        <is>
          <t>เข็มเงิน</t>
        </is>
      </c>
      <c r="E61" s="129" t="n"/>
      <c r="F61" s="129" t="n"/>
      <c r="G61" s="129" t="n">
        <v>8</v>
      </c>
      <c r="H61" s="132" t="inlineStr">
        <is>
          <t>8</t>
        </is>
      </c>
      <c r="I61" s="132" t="inlineStr">
        <is>
          <t>8</t>
        </is>
      </c>
      <c r="J61" s="120" t="n"/>
      <c r="K61" s="120" t="n"/>
      <c r="L61" s="120" t="n"/>
      <c r="M61" s="120" t="n"/>
      <c r="N61" s="120" t="n"/>
      <c r="O61" s="120" t="n"/>
      <c r="P61" s="120" t="n"/>
      <c r="Q61" s="120" t="n"/>
    </row>
    <row r="62" ht="20" customHeight="1">
      <c r="A62" s="129" t="n">
        <v>66</v>
      </c>
      <c r="B62" s="119" t="inlineStr">
        <is>
          <t>นาง</t>
        </is>
      </c>
      <c r="C62" s="119" t="inlineStr">
        <is>
          <t>รุ่งนภา</t>
        </is>
      </c>
      <c r="D62" s="119" t="inlineStr">
        <is>
          <t>เปี่ยมศิลป์</t>
        </is>
      </c>
      <c r="E62" s="129" t="n"/>
      <c r="F62" s="129" t="n"/>
      <c r="G62" s="129" t="n">
        <v>5</v>
      </c>
      <c r="H62" s="132" t="inlineStr">
        <is>
          <t>6</t>
        </is>
      </c>
      <c r="I62" s="132" t="inlineStr">
        <is>
          <t>6</t>
        </is>
      </c>
      <c r="J62" s="120" t="n"/>
      <c r="K62" s="120" t="n"/>
      <c r="L62" s="120" t="n"/>
      <c r="M62" s="120" t="n"/>
      <c r="N62" s="120" t="n"/>
      <c r="O62" s="120" t="n"/>
      <c r="P62" s="120" t="n"/>
      <c r="Q62" s="120" t="n"/>
    </row>
    <row r="63" ht="20" customHeight="1">
      <c r="A63" s="129" t="n">
        <v>68</v>
      </c>
      <c r="B63" s="119" t="inlineStr">
        <is>
          <t>นาง</t>
        </is>
      </c>
      <c r="C63" s="119" t="inlineStr">
        <is>
          <t>ลัดดา</t>
        </is>
      </c>
      <c r="D63" s="119" t="inlineStr">
        <is>
          <t>นาคสังข์</t>
        </is>
      </c>
      <c r="E63" s="129" t="n"/>
      <c r="F63" s="129" t="n"/>
      <c r="G63" s="129" t="n">
        <v>6</v>
      </c>
      <c r="H63" s="132" t="inlineStr">
        <is>
          <t>8</t>
        </is>
      </c>
      <c r="I63" s="132" t="inlineStr">
        <is>
          <t>8</t>
        </is>
      </c>
      <c r="J63" s="120" t="n"/>
      <c r="K63" s="120" t="n"/>
      <c r="L63" s="120" t="n"/>
      <c r="M63" s="120" t="n"/>
      <c r="N63" s="120" t="n"/>
      <c r="O63" s="120" t="n"/>
      <c r="P63" s="120" t="n"/>
      <c r="Q63" s="120" t="n"/>
    </row>
    <row r="64" ht="20" customHeight="1">
      <c r="A64" s="129" t="n">
        <v>70</v>
      </c>
      <c r="B64" s="119" t="inlineStr">
        <is>
          <t>นาง</t>
        </is>
      </c>
      <c r="C64" s="119" t="inlineStr">
        <is>
          <t>ลาคร</t>
        </is>
      </c>
      <c r="D64" s="119" t="inlineStr">
        <is>
          <t>ทองดี</t>
        </is>
      </c>
      <c r="E64" s="129" t="n"/>
      <c r="F64" s="129" t="n"/>
      <c r="G64" s="129" t="n"/>
      <c r="H64" s="132" t="inlineStr">
        <is>
          <t>10</t>
        </is>
      </c>
      <c r="I64" s="132" t="n"/>
      <c r="J64" s="120" t="n"/>
      <c r="K64" s="120" t="n"/>
      <c r="L64" s="120" t="n"/>
      <c r="M64" s="120" t="n"/>
      <c r="N64" s="120" t="n"/>
      <c r="O64" s="120" t="n"/>
      <c r="P64" s="120" t="n"/>
      <c r="Q64" s="120" t="n"/>
    </row>
    <row r="65" ht="20" customHeight="1">
      <c r="A65" s="129" t="n">
        <v>71</v>
      </c>
      <c r="B65" s="119" t="inlineStr">
        <is>
          <t>นาย</t>
        </is>
      </c>
      <c r="C65" s="119" t="inlineStr">
        <is>
          <t>วสันต์</t>
        </is>
      </c>
      <c r="D65" s="119" t="inlineStr">
        <is>
          <t>ทองดี</t>
        </is>
      </c>
      <c r="E65" s="129" t="n"/>
      <c r="F65" s="129" t="n"/>
      <c r="G65" s="129" t="n">
        <v>9</v>
      </c>
      <c r="H65" s="132" t="n"/>
      <c r="I65" s="132" t="n"/>
      <c r="J65" s="120" t="n"/>
      <c r="K65" s="120" t="n"/>
      <c r="L65" s="120" t="n"/>
      <c r="M65" s="120" t="n"/>
      <c r="N65" s="120" t="n"/>
      <c r="O65" s="120" t="n"/>
      <c r="P65" s="120" t="n"/>
      <c r="Q65" s="120" t="n"/>
    </row>
    <row r="66" ht="20" customHeight="1">
      <c r="A66" s="129" t="n">
        <v>72</v>
      </c>
      <c r="B66" s="119" t="inlineStr">
        <is>
          <t>นาง</t>
        </is>
      </c>
      <c r="C66" s="119" t="inlineStr">
        <is>
          <t>แวว</t>
        </is>
      </c>
      <c r="D66" s="119" t="inlineStr">
        <is>
          <t>มิ่งสกุล</t>
        </is>
      </c>
      <c r="E66" s="129" t="n"/>
      <c r="F66" s="129" t="n"/>
      <c r="G66" s="129" t="n">
        <v>6</v>
      </c>
      <c r="H66" s="132" t="inlineStr">
        <is>
          <t>7</t>
        </is>
      </c>
      <c r="I66" s="132" t="inlineStr">
        <is>
          <t>7</t>
        </is>
      </c>
      <c r="J66" s="120" t="n"/>
      <c r="K66" s="120" t="n"/>
      <c r="L66" s="120" t="n"/>
      <c r="M66" s="120" t="n"/>
      <c r="N66" s="120" t="n"/>
      <c r="O66" s="120" t="n"/>
      <c r="P66" s="120" t="n"/>
      <c r="Q66" s="120" t="n"/>
    </row>
    <row r="67" ht="20" customHeight="1">
      <c r="A67" s="129" t="n">
        <v>73</v>
      </c>
      <c r="B67" s="119" t="inlineStr">
        <is>
          <t>นาย</t>
        </is>
      </c>
      <c r="C67" s="119" t="inlineStr">
        <is>
          <t>ศักดิ์</t>
        </is>
      </c>
      <c r="D67" s="119" t="inlineStr">
        <is>
          <t>นาคสังข์</t>
        </is>
      </c>
      <c r="E67" s="129" t="n"/>
      <c r="F67" s="129" t="n"/>
      <c r="G67" s="129" t="n">
        <v>7</v>
      </c>
      <c r="H67" s="132" t="inlineStr">
        <is>
          <t>8</t>
        </is>
      </c>
      <c r="I67" s="132" t="inlineStr">
        <is>
          <t>8</t>
        </is>
      </c>
      <c r="J67" s="120" t="n"/>
      <c r="K67" s="120" t="n"/>
      <c r="L67" s="120" t="n"/>
      <c r="M67" s="120" t="n"/>
      <c r="N67" s="120" t="n"/>
      <c r="O67" s="120" t="n"/>
      <c r="P67" s="120" t="n"/>
      <c r="Q67" s="120" t="n"/>
    </row>
    <row r="68" ht="20" customHeight="1">
      <c r="A68" s="129" t="n">
        <v>74</v>
      </c>
      <c r="B68" s="119" t="inlineStr">
        <is>
          <t>นาง</t>
        </is>
      </c>
      <c r="C68" s="119" t="inlineStr">
        <is>
          <t>ศิรินาถ</t>
        </is>
      </c>
      <c r="D68" s="119" t="inlineStr">
        <is>
          <t>พลนิล</t>
        </is>
      </c>
      <c r="E68" s="129" t="n"/>
      <c r="F68" s="129" t="n"/>
      <c r="G68" s="129" t="n">
        <v>7</v>
      </c>
      <c r="H68" s="132" t="inlineStr">
        <is>
          <t>7</t>
        </is>
      </c>
      <c r="I68" s="132" t="inlineStr">
        <is>
          <t>7</t>
        </is>
      </c>
      <c r="J68" s="120" t="n"/>
      <c r="K68" s="120" t="n"/>
      <c r="L68" s="120" t="n"/>
      <c r="M68" s="120" t="n"/>
      <c r="N68" s="120" t="n"/>
      <c r="O68" s="120" t="n"/>
      <c r="P68" s="120" t="n"/>
      <c r="Q68" s="120" t="n"/>
    </row>
    <row r="69" ht="20" customHeight="1">
      <c r="A69" s="129" t="n">
        <v>75</v>
      </c>
      <c r="B69" s="119" t="inlineStr">
        <is>
          <t>นาง</t>
        </is>
      </c>
      <c r="C69" s="119" t="inlineStr">
        <is>
          <t>ศิริพร</t>
        </is>
      </c>
      <c r="D69" s="119" t="inlineStr">
        <is>
          <t>โพธิ์สุวรรณ</t>
        </is>
      </c>
      <c r="E69" s="129" t="n"/>
      <c r="F69" s="129" t="n"/>
      <c r="G69" s="129" t="n">
        <v>5</v>
      </c>
      <c r="H69" s="132" t="inlineStr">
        <is>
          <t>6</t>
        </is>
      </c>
      <c r="I69" s="132" t="inlineStr">
        <is>
          <t>6</t>
        </is>
      </c>
      <c r="J69" s="120" t="n"/>
      <c r="K69" s="120" t="n"/>
      <c r="L69" s="120" t="n"/>
      <c r="M69" s="120" t="n"/>
      <c r="N69" s="120" t="n"/>
      <c r="O69" s="120" t="n"/>
      <c r="P69" s="120" t="n"/>
      <c r="Q69" s="120" t="n"/>
    </row>
    <row r="70" ht="20" customHeight="1">
      <c r="A70" s="129" t="n">
        <v>76</v>
      </c>
      <c r="B70" s="119" t="inlineStr">
        <is>
          <t>นาง</t>
        </is>
      </c>
      <c r="C70" s="119" t="inlineStr">
        <is>
          <t>ศิริพร</t>
        </is>
      </c>
      <c r="D70" s="119" t="inlineStr">
        <is>
          <t>ทองชื่น</t>
        </is>
      </c>
      <c r="E70" s="129" t="n"/>
      <c r="F70" s="129" t="n"/>
      <c r="G70" s="129" t="n">
        <v>7</v>
      </c>
      <c r="H70" s="132" t="inlineStr">
        <is>
          <t>7</t>
        </is>
      </c>
      <c r="I70" s="132" t="inlineStr">
        <is>
          <t>7</t>
        </is>
      </c>
      <c r="J70" s="120" t="n"/>
      <c r="K70" s="120" t="n"/>
      <c r="L70" s="120" t="n"/>
      <c r="M70" s="120" t="n"/>
      <c r="N70" s="120" t="n"/>
      <c r="O70" s="120" t="n"/>
      <c r="P70" s="120" t="n"/>
      <c r="Q70" s="120" t="n"/>
    </row>
    <row r="71" ht="20" customHeight="1">
      <c r="A71" s="129" t="n">
        <v>77</v>
      </c>
      <c r="B71" s="119" t="inlineStr">
        <is>
          <t>นาง</t>
        </is>
      </c>
      <c r="C71" s="119" t="inlineStr">
        <is>
          <t>ศิริพร</t>
        </is>
      </c>
      <c r="D71" s="119" t="inlineStr">
        <is>
          <t>อินทร์หอม</t>
        </is>
      </c>
      <c r="E71" s="129" t="n"/>
      <c r="F71" s="129" t="n"/>
      <c r="G71" s="129" t="n">
        <v>5</v>
      </c>
      <c r="H71" s="132" t="inlineStr">
        <is>
          <t>5</t>
        </is>
      </c>
      <c r="I71" s="132" t="inlineStr">
        <is>
          <t>5</t>
        </is>
      </c>
      <c r="J71" s="120" t="n"/>
      <c r="K71" s="120" t="n"/>
      <c r="L71" s="120" t="n"/>
      <c r="M71" s="120" t="n"/>
      <c r="N71" s="120" t="n"/>
      <c r="O71" s="120" t="n"/>
      <c r="P71" s="120" t="n"/>
      <c r="Q71" s="120" t="n"/>
    </row>
    <row r="72" ht="20" customHeight="1">
      <c r="A72" s="129" t="n">
        <v>78</v>
      </c>
      <c r="B72" s="119" t="inlineStr">
        <is>
          <t>นาง</t>
        </is>
      </c>
      <c r="C72" s="119" t="inlineStr">
        <is>
          <t>ศิริรัตน์</t>
        </is>
      </c>
      <c r="D72" s="119" t="inlineStr">
        <is>
          <t>คล้ายสอน</t>
        </is>
      </c>
      <c r="E72" s="129" t="n"/>
      <c r="F72" s="129" t="n"/>
      <c r="G72" s="129" t="n">
        <v>8</v>
      </c>
      <c r="H72" s="132" t="inlineStr">
        <is>
          <t>8</t>
        </is>
      </c>
      <c r="I72" s="132" t="inlineStr">
        <is>
          <t>8</t>
        </is>
      </c>
      <c r="J72" s="120" t="n"/>
      <c r="K72" s="120" t="n"/>
      <c r="L72" s="120" t="n"/>
      <c r="M72" s="120" t="n"/>
      <c r="N72" s="120" t="n"/>
      <c r="O72" s="120" t="n"/>
      <c r="P72" s="120" t="n"/>
      <c r="Q72" s="120" t="n"/>
    </row>
    <row r="73" ht="20" customHeight="1">
      <c r="A73" s="129" t="n">
        <v>79</v>
      </c>
      <c r="B73" s="119" t="inlineStr">
        <is>
          <t>น.ส.</t>
        </is>
      </c>
      <c r="C73" s="119" t="inlineStr">
        <is>
          <t>สถาพร</t>
        </is>
      </c>
      <c r="D73" s="119" t="inlineStr">
        <is>
          <t>โฉมเชิด</t>
        </is>
      </c>
      <c r="E73" s="129" t="n"/>
      <c r="F73" s="129" t="n"/>
      <c r="G73" s="129" t="n">
        <v>5</v>
      </c>
      <c r="H73" s="132" t="inlineStr">
        <is>
          <t>6</t>
        </is>
      </c>
      <c r="I73" s="132" t="inlineStr">
        <is>
          <t>6</t>
        </is>
      </c>
      <c r="J73" s="120" t="n"/>
      <c r="K73" s="120" t="n"/>
      <c r="L73" s="120" t="n"/>
      <c r="M73" s="120" t="n"/>
      <c r="N73" s="120" t="n"/>
      <c r="O73" s="120" t="n"/>
      <c r="P73" s="120" t="n"/>
      <c r="Q73" s="120" t="n"/>
    </row>
    <row r="74" ht="20" customHeight="1">
      <c r="A74" s="129" t="n">
        <v>80</v>
      </c>
      <c r="B74" s="119" t="inlineStr">
        <is>
          <t>นาง</t>
        </is>
      </c>
      <c r="C74" s="119" t="inlineStr">
        <is>
          <t>สายทอง</t>
        </is>
      </c>
      <c r="D74" s="119" t="inlineStr">
        <is>
          <t>ชอบรส</t>
        </is>
      </c>
      <c r="E74" s="129" t="n"/>
      <c r="F74" s="129" t="n"/>
      <c r="G74" s="129" t="n">
        <v>6</v>
      </c>
      <c r="H74" s="132" t="inlineStr">
        <is>
          <t>8</t>
        </is>
      </c>
      <c r="I74" s="132" t="inlineStr">
        <is>
          <t>7</t>
        </is>
      </c>
      <c r="J74" s="120" t="n"/>
      <c r="K74" s="120" t="n"/>
      <c r="L74" s="120" t="n"/>
      <c r="M74" s="120" t="n"/>
      <c r="N74" s="120" t="n"/>
      <c r="O74" s="120" t="n"/>
      <c r="P74" s="120" t="n"/>
      <c r="Q74" s="120" t="n"/>
    </row>
    <row r="75" ht="20" customHeight="1">
      <c r="A75" s="129" t="n">
        <v>81</v>
      </c>
      <c r="B75" s="119" t="inlineStr">
        <is>
          <t>นาย</t>
        </is>
      </c>
      <c r="C75" s="119" t="inlineStr">
        <is>
          <t>สิทธิชัย</t>
        </is>
      </c>
      <c r="D75" s="119" t="inlineStr">
        <is>
          <t>โฉมเชิด</t>
        </is>
      </c>
      <c r="E75" s="129" t="n"/>
      <c r="F75" s="129" t="n"/>
      <c r="G75" s="129" t="n">
        <v>8</v>
      </c>
      <c r="H75" s="132" t="inlineStr">
        <is>
          <t>8</t>
        </is>
      </c>
      <c r="I75" s="132" t="inlineStr">
        <is>
          <t>8</t>
        </is>
      </c>
      <c r="J75" s="120" t="n"/>
      <c r="K75" s="120" t="n"/>
      <c r="L75" s="120" t="n"/>
      <c r="M75" s="120" t="n"/>
      <c r="N75" s="120" t="n"/>
      <c r="O75" s="120" t="n"/>
      <c r="P75" s="120" t="n"/>
      <c r="Q75" s="120" t="n"/>
    </row>
    <row r="76" ht="20" customHeight="1">
      <c r="A76" s="129" t="n">
        <v>82</v>
      </c>
      <c r="B76" s="119" t="inlineStr">
        <is>
          <t>นาง</t>
        </is>
      </c>
      <c r="C76" s="119" t="inlineStr">
        <is>
          <t>สุพรรษา</t>
        </is>
      </c>
      <c r="D76" s="119" t="inlineStr">
        <is>
          <t>กาฬภักดี</t>
        </is>
      </c>
      <c r="E76" s="129" t="n"/>
      <c r="F76" s="129" t="n"/>
      <c r="G76" s="129" t="n">
        <v>7</v>
      </c>
      <c r="H76" s="132" t="inlineStr">
        <is>
          <t>7</t>
        </is>
      </c>
      <c r="I76" s="132" t="inlineStr">
        <is>
          <t>8</t>
        </is>
      </c>
      <c r="J76" s="120" t="n"/>
      <c r="K76" s="120" t="n"/>
      <c r="L76" s="120" t="n"/>
      <c r="M76" s="120" t="n"/>
      <c r="N76" s="120" t="n"/>
      <c r="O76" s="120" t="n"/>
      <c r="P76" s="120" t="n"/>
      <c r="Q76" s="120" t="n"/>
    </row>
    <row r="77" ht="20" customHeight="1">
      <c r="A77" s="129" t="n">
        <v>83</v>
      </c>
      <c r="B77" s="119" t="inlineStr">
        <is>
          <t>นาย</t>
        </is>
      </c>
      <c r="C77" s="119" t="inlineStr">
        <is>
          <t>สุเมต</t>
        </is>
      </c>
      <c r="D77" s="119" t="inlineStr">
        <is>
          <t>เผือกผ่อง</t>
        </is>
      </c>
      <c r="E77" s="129" t="n"/>
      <c r="F77" s="129" t="n"/>
      <c r="G77" s="129" t="n">
        <v>8</v>
      </c>
      <c r="H77" s="132" t="inlineStr">
        <is>
          <t>8</t>
        </is>
      </c>
      <c r="I77" s="132" t="inlineStr">
        <is>
          <t>8</t>
        </is>
      </c>
      <c r="J77" s="120" t="n"/>
      <c r="K77" s="120" t="n"/>
      <c r="L77" s="120" t="n"/>
      <c r="M77" s="120" t="n"/>
      <c r="N77" s="120" t="n"/>
      <c r="O77" s="120" t="n"/>
      <c r="P77" s="120" t="n"/>
      <c r="Q77" s="120" t="n"/>
    </row>
    <row r="78" ht="20" customHeight="1">
      <c r="A78" s="129" t="n">
        <v>84</v>
      </c>
      <c r="B78" s="119" t="inlineStr">
        <is>
          <t>น.ส.</t>
        </is>
      </c>
      <c r="C78" s="119" t="inlineStr">
        <is>
          <t>สุรีพร</t>
        </is>
      </c>
      <c r="D78" s="119" t="inlineStr">
        <is>
          <t>อ่อนคำ</t>
        </is>
      </c>
      <c r="E78" s="129" t="n"/>
      <c r="F78" s="129" t="n"/>
      <c r="G78" s="129" t="n">
        <v>7</v>
      </c>
      <c r="H78" s="132" t="inlineStr">
        <is>
          <t>6</t>
        </is>
      </c>
      <c r="I78" s="132" t="inlineStr">
        <is>
          <t>5</t>
        </is>
      </c>
      <c r="J78" s="120" t="n"/>
      <c r="K78" s="120" t="n"/>
      <c r="L78" s="120" t="n"/>
      <c r="M78" s="120" t="n"/>
      <c r="N78" s="120" t="n"/>
      <c r="O78" s="120" t="n"/>
      <c r="P78" s="120" t="n"/>
      <c r="Q78" s="120" t="n"/>
    </row>
    <row r="79" ht="20" customHeight="1">
      <c r="A79" s="129" t="n">
        <v>85</v>
      </c>
      <c r="B79" s="119" t="inlineStr">
        <is>
          <t>น.ส.</t>
        </is>
      </c>
      <c r="C79" s="119" t="inlineStr">
        <is>
          <t>สุรีรัตน์</t>
        </is>
      </c>
      <c r="D79" s="239" t="inlineStr">
        <is>
          <t>พุ่มโพธิ์</t>
        </is>
      </c>
      <c r="E79" s="129" t="n"/>
      <c r="F79" s="129" t="n"/>
      <c r="G79" s="129" t="n">
        <v>9</v>
      </c>
      <c r="H79" s="132" t="inlineStr">
        <is>
          <t>6</t>
        </is>
      </c>
      <c r="I79" s="132" t="inlineStr">
        <is>
          <t>6</t>
        </is>
      </c>
      <c r="J79" s="120" t="n"/>
      <c r="K79" s="120" t="n"/>
      <c r="L79" s="120" t="n"/>
      <c r="M79" s="120" t="n"/>
      <c r="N79" s="120" t="n"/>
      <c r="O79" s="120" t="n"/>
      <c r="P79" s="120" t="n"/>
      <c r="Q79" s="120" t="n"/>
    </row>
    <row r="80" ht="20" customHeight="1">
      <c r="A80" s="129" t="n">
        <v>86</v>
      </c>
      <c r="B80" s="119" t="inlineStr">
        <is>
          <t>น.ส.</t>
        </is>
      </c>
      <c r="C80" s="119" t="inlineStr">
        <is>
          <t>สุวรรณ</t>
        </is>
      </c>
      <c r="D80" s="119" t="inlineStr">
        <is>
          <t>รุ่งเรือง</t>
        </is>
      </c>
      <c r="E80" s="129" t="n"/>
      <c r="F80" s="129" t="n"/>
      <c r="G80" s="129" t="n">
        <v>7</v>
      </c>
      <c r="H80" s="132" t="inlineStr">
        <is>
          <t>6</t>
        </is>
      </c>
      <c r="I80" s="132" t="inlineStr">
        <is>
          <t>7</t>
        </is>
      </c>
      <c r="J80" s="120" t="n"/>
      <c r="K80" s="120" t="n"/>
      <c r="L80" s="120" t="n"/>
      <c r="M80" s="120" t="n"/>
      <c r="N80" s="120" t="n"/>
      <c r="O80" s="120" t="n"/>
      <c r="P80" s="120" t="n"/>
      <c r="Q80" s="120" t="n"/>
    </row>
    <row r="81" ht="20" customHeight="1">
      <c r="A81" s="129" t="n">
        <v>87</v>
      </c>
      <c r="B81" s="119" t="inlineStr">
        <is>
          <t>นาง</t>
        </is>
      </c>
      <c r="C81" s="119" t="inlineStr">
        <is>
          <t>สำรอง</t>
        </is>
      </c>
      <c r="D81" s="119" t="inlineStr">
        <is>
          <t>ทั่งทอง</t>
        </is>
      </c>
      <c r="E81" s="129" t="n"/>
      <c r="F81" s="129" t="n"/>
      <c r="G81" s="129" t="n">
        <v>7</v>
      </c>
      <c r="H81" s="132" t="inlineStr">
        <is>
          <t>5</t>
        </is>
      </c>
      <c r="I81" s="132" t="inlineStr">
        <is>
          <t>7</t>
        </is>
      </c>
      <c r="J81" s="120" t="n"/>
      <c r="K81" s="120" t="n"/>
      <c r="L81" s="120" t="n"/>
      <c r="M81" s="120" t="n"/>
      <c r="N81" s="120" t="n"/>
      <c r="O81" s="120" t="n"/>
      <c r="P81" s="120" t="n"/>
      <c r="Q81" s="120" t="n"/>
    </row>
    <row r="82" ht="20" customHeight="1">
      <c r="A82" s="129" t="n">
        <v>88</v>
      </c>
      <c r="B82" s="119" t="inlineStr">
        <is>
          <t>นาย</t>
        </is>
      </c>
      <c r="C82" s="119" t="inlineStr">
        <is>
          <t>หวัน</t>
        </is>
      </c>
      <c r="D82" s="119" t="inlineStr">
        <is>
          <t>ใจวกุล</t>
        </is>
      </c>
      <c r="E82" s="129" t="n"/>
      <c r="F82" s="129" t="n"/>
      <c r="G82" s="129" t="n">
        <v>7</v>
      </c>
      <c r="H82" s="132" t="inlineStr">
        <is>
          <t>7</t>
        </is>
      </c>
      <c r="I82" s="132" t="inlineStr">
        <is>
          <t>8</t>
        </is>
      </c>
      <c r="J82" s="120" t="n"/>
      <c r="K82" s="120" t="n"/>
      <c r="L82" s="120" t="n"/>
      <c r="M82" s="120" t="n"/>
      <c r="N82" s="120" t="n"/>
      <c r="O82" s="120" t="n"/>
      <c r="P82" s="120" t="n"/>
      <c r="Q82" s="120" t="n"/>
    </row>
    <row r="83" ht="20" customHeight="1">
      <c r="A83" s="129" t="n">
        <v>89</v>
      </c>
      <c r="B83" s="119" t="inlineStr">
        <is>
          <t>นาย</t>
        </is>
      </c>
      <c r="C83" s="119" t="inlineStr">
        <is>
          <t>อร่าม</t>
        </is>
      </c>
      <c r="D83" s="119" t="inlineStr">
        <is>
          <t>เข็มเงิน</t>
        </is>
      </c>
      <c r="E83" s="129" t="n"/>
      <c r="F83" s="129" t="n"/>
      <c r="G83" s="129" t="n">
        <v>7</v>
      </c>
      <c r="H83" s="132" t="inlineStr">
        <is>
          <t>7</t>
        </is>
      </c>
      <c r="I83" s="132" t="inlineStr">
        <is>
          <t>7</t>
        </is>
      </c>
      <c r="J83" s="120" t="n"/>
      <c r="K83" s="120" t="n"/>
      <c r="L83" s="120" t="n"/>
      <c r="M83" s="120" t="n"/>
      <c r="N83" s="120" t="n"/>
      <c r="O83" s="120" t="n"/>
      <c r="P83" s="120" t="n"/>
      <c r="Q83" s="120" t="n"/>
    </row>
    <row r="84" ht="20" customHeight="1">
      <c r="A84" s="129" t="n">
        <v>90</v>
      </c>
      <c r="B84" s="119" t="inlineStr">
        <is>
          <t>น.ส.</t>
        </is>
      </c>
      <c r="C84" s="119" t="inlineStr">
        <is>
          <t>อัญชลี</t>
        </is>
      </c>
      <c r="D84" s="119" t="inlineStr">
        <is>
          <t>อุ่มแสง</t>
        </is>
      </c>
      <c r="E84" s="129" t="n"/>
      <c r="F84" s="129" t="n"/>
      <c r="G84" s="129" t="n">
        <v>5</v>
      </c>
      <c r="H84" s="132" t="inlineStr">
        <is>
          <t>5</t>
        </is>
      </c>
      <c r="I84" s="132" t="inlineStr">
        <is>
          <t>6</t>
        </is>
      </c>
      <c r="J84" s="120" t="n"/>
      <c r="K84" s="120" t="n"/>
      <c r="L84" s="120" t="n"/>
      <c r="M84" s="120" t="n"/>
      <c r="N84" s="120" t="n"/>
      <c r="O84" s="120" t="n"/>
      <c r="P84" s="120" t="n"/>
      <c r="Q84" s="120" t="n"/>
    </row>
    <row r="85" ht="20" customHeight="1">
      <c r="A85" s="129" t="n">
        <v>91</v>
      </c>
      <c r="B85" s="119" t="inlineStr">
        <is>
          <t>น.ส.</t>
        </is>
      </c>
      <c r="C85" s="119" t="inlineStr">
        <is>
          <t>อุบลรัตน์</t>
        </is>
      </c>
      <c r="D85" s="119" t="inlineStr">
        <is>
          <t>ทั่งทอง</t>
        </is>
      </c>
      <c r="E85" s="129" t="n"/>
      <c r="F85" s="129" t="n"/>
      <c r="G85" s="129" t="n">
        <v>8</v>
      </c>
      <c r="H85" s="132" t="inlineStr">
        <is>
          <t>8</t>
        </is>
      </c>
      <c r="I85" s="132" t="inlineStr">
        <is>
          <t>8</t>
        </is>
      </c>
      <c r="J85" s="120" t="n"/>
      <c r="K85" s="120" t="n"/>
      <c r="L85" s="120" t="n"/>
      <c r="M85" s="120" t="n"/>
      <c r="N85" s="120" t="n"/>
      <c r="O85" s="120" t="n"/>
      <c r="P85" s="120" t="n"/>
      <c r="Q85" s="120" t="n"/>
    </row>
    <row r="86" ht="20" customHeight="1">
      <c r="A86" s="129" t="n">
        <v>92</v>
      </c>
      <c r="B86" s="119" t="inlineStr">
        <is>
          <t>น.ส.</t>
        </is>
      </c>
      <c r="C86" s="119" t="inlineStr">
        <is>
          <t>ชลันดา</t>
        </is>
      </c>
      <c r="D86" s="119" t="inlineStr">
        <is>
          <t>ราชวงศ์</t>
        </is>
      </c>
      <c r="E86" s="129" t="n"/>
      <c r="F86" s="129" t="n"/>
      <c r="G86" s="129" t="n">
        <v>5</v>
      </c>
      <c r="H86" s="129" t="n">
        <v>5</v>
      </c>
      <c r="I86" s="129" t="n">
        <v>5</v>
      </c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t="inlineStr">
        <is>
          <t>ทำไม่ถึงปี</t>
        </is>
      </c>
    </row>
    <row r="87" ht="20" customHeight="1">
      <c r="A87" s="129" t="n">
        <v>93</v>
      </c>
      <c r="B87" s="119" t="inlineStr">
        <is>
          <t>น.ส.</t>
        </is>
      </c>
      <c r="C87" s="119" t="inlineStr">
        <is>
          <t>กาญจนา</t>
        </is>
      </c>
      <c r="D87" s="119" t="inlineStr">
        <is>
          <t>จุ้ยเปี่ยม</t>
        </is>
      </c>
      <c r="E87" s="129" t="n"/>
      <c r="F87" s="129" t="n"/>
      <c r="G87" s="129" t="n">
        <v>5</v>
      </c>
      <c r="H87" s="129" t="n">
        <v>5</v>
      </c>
      <c r="I87" s="129" t="n">
        <v>4</v>
      </c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t="inlineStr">
        <is>
          <t>ทำไม่ถึงปี</t>
        </is>
      </c>
    </row>
    <row r="88" ht="20" customHeight="1">
      <c r="A88" s="129" t="n">
        <v>94</v>
      </c>
      <c r="B88" s="119" t="inlineStr">
        <is>
          <t>นาง</t>
        </is>
      </c>
      <c r="C88" s="119" t="inlineStr">
        <is>
          <t>นิรัตน์</t>
        </is>
      </c>
      <c r="D88" s="119" t="inlineStr">
        <is>
          <t>หิรัญวงษ์</t>
        </is>
      </c>
      <c r="E88" s="129" t="n"/>
      <c r="F88" s="129" t="n"/>
      <c r="G88" s="129" t="n">
        <v>6</v>
      </c>
      <c r="H88" s="129" t="n">
        <v>5</v>
      </c>
      <c r="I88" s="129" t="n">
        <v>4</v>
      </c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t="inlineStr">
        <is>
          <t>ทำไม่ถึงปี</t>
        </is>
      </c>
    </row>
    <row r="89" ht="20" customHeight="1">
      <c r="A89" s="129" t="n">
        <v>95</v>
      </c>
      <c r="B89" s="119" t="inlineStr">
        <is>
          <t>น.ส.</t>
        </is>
      </c>
      <c r="C89" s="119" t="inlineStr">
        <is>
          <t>ขวัญใจ</t>
        </is>
      </c>
      <c r="D89" s="119" t="inlineStr">
        <is>
          <t>ขุนทอง</t>
        </is>
      </c>
      <c r="E89" s="129" t="n"/>
      <c r="F89" s="129" t="n"/>
      <c r="G89" s="129" t="n">
        <v>6</v>
      </c>
      <c r="H89" s="129" t="n">
        <v>7</v>
      </c>
      <c r="I89" s="129" t="n">
        <v>4</v>
      </c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t="inlineStr">
        <is>
          <t>ทำไม่ถึงปี</t>
        </is>
      </c>
    </row>
    <row r="90" ht="20" customHeight="1">
      <c r="A90" s="129" t="n">
        <v>96</v>
      </c>
      <c r="B90" s="119" t="inlineStr">
        <is>
          <t>น.ส.</t>
        </is>
      </c>
      <c r="C90" s="119" t="inlineStr">
        <is>
          <t>นพรัตน์</t>
        </is>
      </c>
      <c r="D90" s="119" t="inlineStr">
        <is>
          <t>ธัญญเจริญ</t>
        </is>
      </c>
      <c r="E90" s="129" t="n"/>
      <c r="F90" s="129" t="n"/>
      <c r="G90" s="129" t="n">
        <v>6</v>
      </c>
      <c r="H90" s="129" t="n">
        <v>7</v>
      </c>
      <c r="I90" s="129" t="n">
        <v>4</v>
      </c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t="inlineStr">
        <is>
          <t>ทำไม่ถึงปี</t>
        </is>
      </c>
    </row>
    <row r="91" ht="20" customHeight="1">
      <c r="A91" s="129" t="n">
        <v>97</v>
      </c>
      <c r="B91" s="119" t="inlineStr">
        <is>
          <t>น.ส.</t>
        </is>
      </c>
      <c r="C91" s="119" t="inlineStr">
        <is>
          <t>ธมลวรรณ</t>
        </is>
      </c>
      <c r="D91" s="119" t="inlineStr">
        <is>
          <t>กระแหน่</t>
        </is>
      </c>
      <c r="E91" s="129" t="n"/>
      <c r="F91" s="129" t="n"/>
      <c r="G91" s="129" t="n">
        <v>6</v>
      </c>
      <c r="H91" s="129" t="n">
        <v>7</v>
      </c>
      <c r="I91" s="129" t="n">
        <v>4</v>
      </c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t="inlineStr">
        <is>
          <t>ทำไม่ถึงปี</t>
        </is>
      </c>
    </row>
    <row r="92" ht="20" customHeight="1">
      <c r="A92" s="129" t="n">
        <v>98</v>
      </c>
      <c r="B92" s="119" t="inlineStr">
        <is>
          <t>น.ส.</t>
        </is>
      </c>
      <c r="C92" s="119" t="inlineStr">
        <is>
          <t>ขวัญจิรา</t>
        </is>
      </c>
      <c r="D92" s="119" t="inlineStr">
        <is>
          <t>ใจวกุล</t>
        </is>
      </c>
      <c r="E92" s="129" t="n"/>
      <c r="F92" s="129" t="n"/>
      <c r="G92" s="129" t="n">
        <v>6</v>
      </c>
      <c r="H92" s="129" t="n">
        <v>5</v>
      </c>
      <c r="I92" s="129" t="n">
        <v>4</v>
      </c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t="inlineStr">
        <is>
          <t>ทำไม่ถึงปี</t>
        </is>
      </c>
    </row>
    <row r="93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V233"/>
  <sheetViews>
    <sheetView zoomScaleNormal="100" workbookViewId="0">
      <pane xSplit="5" ySplit="4" topLeftCell="AH42" activePane="bottomRight" state="frozen"/>
      <selection pane="topRight" activeCell="E1" sqref="E1"/>
      <selection pane="bottomLeft" activeCell="A5" sqref="A5"/>
      <selection pane="bottomRight" activeCell="AX45" sqref="AX45"/>
    </sheetView>
  </sheetViews>
  <sheetFormatPr baseColWidth="8" defaultRowHeight="20"/>
  <cols>
    <col width="4" customWidth="1" style="3" min="1" max="1"/>
    <col width="7.6328125" bestFit="1" customWidth="1" style="3" min="2" max="2"/>
    <col width="10.7265625" customWidth="1" style="2" min="3" max="3"/>
    <col width="12.6328125" customWidth="1" style="2" min="4" max="4"/>
    <col width="8.36328125" customWidth="1" style="2" min="5" max="5"/>
    <col width="9" customWidth="1" style="2" min="6" max="6"/>
    <col width="16.26953125" customWidth="1" style="2" min="7" max="7"/>
    <col width="0.08984375" customWidth="1" style="2" min="8" max="8"/>
    <col width="4.7265625" customWidth="1" style="3" min="9" max="10"/>
    <col width="6.08984375" customWidth="1" style="3" min="11" max="11"/>
    <col width="4.7265625" customWidth="1" style="3" min="12" max="13"/>
    <col width="6" customWidth="1" style="3" min="14" max="14"/>
    <col width="4.7265625" customWidth="1" style="3" min="15" max="15"/>
    <col width="5" customWidth="1" style="3" min="16" max="16"/>
    <col width="6.36328125" customWidth="1" style="3" min="17" max="17"/>
    <col width="4.7265625" customWidth="1" style="1" min="18" max="18"/>
    <col width="5.36328125" customWidth="1" style="1" min="19" max="19"/>
    <col width="5.90625" customWidth="1" style="1" min="20" max="20"/>
    <col width="4.7265625" customWidth="1" style="3" min="21" max="21"/>
    <col width="6.6328125" customWidth="1" style="3" min="22" max="22"/>
    <col width="5.08984375" customWidth="1" style="3" min="23" max="23"/>
    <col width="4.7265625" customWidth="1" style="1" min="24" max="24"/>
    <col width="5.36328125" customWidth="1" style="1" min="25" max="25"/>
    <col width="5.7265625" customWidth="1" style="1" min="26" max="26"/>
    <col width="4.7265625" customWidth="1" style="1" min="27" max="28"/>
    <col width="5" customWidth="1" style="1" min="29" max="29"/>
    <col width="4.7265625" customWidth="1" style="1" min="30" max="30"/>
    <col width="5.08984375" customWidth="1" style="1" min="31" max="32"/>
    <col width="4.7265625" customWidth="1" style="4" min="33" max="33"/>
    <col width="5.08984375" customWidth="1" style="4" min="34" max="34"/>
    <col width="4.7265625" customWidth="1" style="4" min="35" max="36"/>
    <col width="5.26953125" customWidth="1" style="4" min="37" max="37"/>
    <col width="4.7265625" customWidth="1" style="4" min="38" max="43"/>
    <col width="5.6328125" customWidth="1" style="4" min="44" max="44"/>
    <col width="10.26953125" customWidth="1" style="1" min="45" max="45"/>
    <col width="8.81640625" customWidth="1" style="1" min="46" max="47"/>
    <col width="17.1796875" bestFit="1" customWidth="1" min="48" max="48"/>
  </cols>
  <sheetData>
    <row r="1" ht="26.25" customHeight="1">
      <c r="A1" s="249" t="inlineStr">
        <is>
          <t xml:space="preserve">บริษัท ช. ไพศาล จำกัด  </t>
        </is>
      </c>
      <c r="R1" s="3" t="n"/>
      <c r="S1" s="3" t="n"/>
      <c r="T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 ht="26.25" customHeight="1">
      <c r="A2" s="249" t="inlineStr">
        <is>
          <t>ประเมินผลปี  2568  ( ตั้งแต่ 2 ม.ค. - 30 ธ.ค. 2568)</t>
        </is>
      </c>
      <c r="R2" s="3" t="n"/>
      <c r="S2" s="3" t="n"/>
      <c r="T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>
      <c r="R3" s="3" t="n"/>
      <c r="S3" s="3" t="n"/>
      <c r="T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V3" s="242" t="inlineStr">
        <is>
          <t>แผนกสำหรับคำนวน</t>
        </is>
      </c>
    </row>
    <row r="4" ht="20.5" customHeight="1">
      <c r="A4" s="168" t="inlineStr">
        <is>
          <t>ลำดับ</t>
        </is>
      </c>
      <c r="B4" s="5" t="inlineStr">
        <is>
          <t>คำนำหน้า</t>
        </is>
      </c>
      <c r="C4" s="5" t="inlineStr">
        <is>
          <t>ชื่อ</t>
        </is>
      </c>
      <c r="D4" s="169" t="inlineStr">
        <is>
          <t>สกุล</t>
        </is>
      </c>
      <c r="E4" s="5" t="inlineStr">
        <is>
          <t>อัตราค่าแรง</t>
        </is>
      </c>
      <c r="F4" s="5" t="inlineStr">
        <is>
          <t>เริ่มทำงาน</t>
        </is>
      </c>
      <c r="G4" s="5" t="inlineStr">
        <is>
          <t>หมายเหตุ</t>
        </is>
      </c>
      <c r="H4" s="6" t="inlineStr">
        <is>
          <t>ลากิจ</t>
        </is>
      </c>
      <c r="I4" s="7" t="inlineStr">
        <is>
          <t>ม.ค</t>
        </is>
      </c>
      <c r="J4" s="7" t="inlineStr">
        <is>
          <t>OT</t>
        </is>
      </c>
      <c r="K4" s="8" t="inlineStr">
        <is>
          <t>วันหยุด</t>
        </is>
      </c>
      <c r="L4" s="9" t="inlineStr">
        <is>
          <t>ก.พ</t>
        </is>
      </c>
      <c r="M4" s="7" t="inlineStr">
        <is>
          <t>OT</t>
        </is>
      </c>
      <c r="N4" s="8" t="inlineStr">
        <is>
          <t>วันหยุด</t>
        </is>
      </c>
      <c r="O4" s="9" t="inlineStr">
        <is>
          <t>มี.ค.</t>
        </is>
      </c>
      <c r="P4" s="7" t="inlineStr">
        <is>
          <t>OT</t>
        </is>
      </c>
      <c r="Q4" s="8" t="inlineStr">
        <is>
          <t>วันหยุด</t>
        </is>
      </c>
      <c r="R4" s="10" t="inlineStr">
        <is>
          <t>เม.ย.</t>
        </is>
      </c>
      <c r="S4" s="7" t="inlineStr">
        <is>
          <t>OT</t>
        </is>
      </c>
      <c r="T4" s="8" t="inlineStr">
        <is>
          <t>วันหยุด</t>
        </is>
      </c>
      <c r="U4" s="9" t="inlineStr">
        <is>
          <t>พ.ค.</t>
        </is>
      </c>
      <c r="V4" s="7" t="inlineStr">
        <is>
          <t>OT</t>
        </is>
      </c>
      <c r="W4" s="8" t="inlineStr">
        <is>
          <t>วันหยุด</t>
        </is>
      </c>
      <c r="X4" s="11" t="inlineStr">
        <is>
          <t>มิ.ย.</t>
        </is>
      </c>
      <c r="Y4" s="7" t="inlineStr">
        <is>
          <t>OT</t>
        </is>
      </c>
      <c r="Z4" s="8" t="inlineStr">
        <is>
          <t>วันหยุด</t>
        </is>
      </c>
      <c r="AA4" s="11" t="inlineStr">
        <is>
          <t>ก.ค.</t>
        </is>
      </c>
      <c r="AB4" s="7" t="inlineStr">
        <is>
          <t>OT</t>
        </is>
      </c>
      <c r="AC4" s="8" t="inlineStr">
        <is>
          <t>วันหยุด</t>
        </is>
      </c>
      <c r="AD4" s="11" t="inlineStr">
        <is>
          <t>ส.ค.</t>
        </is>
      </c>
      <c r="AE4" s="7" t="inlineStr">
        <is>
          <t>OT</t>
        </is>
      </c>
      <c r="AF4" s="8" t="inlineStr">
        <is>
          <t>วันหยุด</t>
        </is>
      </c>
      <c r="AG4" s="11" t="inlineStr">
        <is>
          <t>ก.ย.</t>
        </is>
      </c>
      <c r="AH4" s="7" t="inlineStr">
        <is>
          <t>OT</t>
        </is>
      </c>
      <c r="AI4" s="8" t="inlineStr">
        <is>
          <t>วันหยุด</t>
        </is>
      </c>
      <c r="AJ4" s="11" t="inlineStr">
        <is>
          <t>ต.ค</t>
        </is>
      </c>
      <c r="AK4" s="7" t="inlineStr">
        <is>
          <t>OT</t>
        </is>
      </c>
      <c r="AL4" s="8" t="inlineStr">
        <is>
          <t>วันหยุด</t>
        </is>
      </c>
      <c r="AM4" s="11" t="inlineStr">
        <is>
          <t>พ.ย.</t>
        </is>
      </c>
      <c r="AN4" s="7" t="inlineStr">
        <is>
          <t>OT</t>
        </is>
      </c>
      <c r="AO4" s="8" t="inlineStr">
        <is>
          <t>วันหยุด</t>
        </is>
      </c>
      <c r="AP4" s="11" t="inlineStr">
        <is>
          <t>ธ.ค</t>
        </is>
      </c>
      <c r="AQ4" s="7" t="inlineStr">
        <is>
          <t>OT</t>
        </is>
      </c>
      <c r="AR4" s="8" t="inlineStr">
        <is>
          <t>วันหยุด</t>
        </is>
      </c>
      <c r="AS4" s="12" t="inlineStr">
        <is>
          <t>รวมวันทำงาน</t>
        </is>
      </c>
      <c r="AT4" s="6" t="inlineStr">
        <is>
          <t>รวม OT</t>
        </is>
      </c>
      <c r="AU4" s="6" t="inlineStr">
        <is>
          <t>รวมวันหยุด</t>
        </is>
      </c>
      <c r="AV4" s="243" t="inlineStr">
        <is>
          <t>แผนก (สูตรที่ใช้)</t>
        </is>
      </c>
    </row>
    <row r="5">
      <c r="A5" s="13" t="n">
        <v>1</v>
      </c>
      <c r="B5" s="241" t="inlineStr">
        <is>
          <t>น.ส.</t>
        </is>
      </c>
      <c r="C5" s="241" t="inlineStr">
        <is>
          <t>ชิติมา</t>
        </is>
      </c>
      <c r="D5" s="15" t="inlineStr">
        <is>
          <t>กตัญญู</t>
        </is>
      </c>
      <c r="E5" s="16" t="n">
        <v>14900</v>
      </c>
      <c r="F5" s="17" t="n">
        <v>237956</v>
      </c>
      <c r="G5" s="18" t="inlineStr">
        <is>
          <t>ออฟฟิศ</t>
        </is>
      </c>
      <c r="H5" s="255" t="n"/>
      <c r="I5" s="19" t="n">
        <v>23.5</v>
      </c>
      <c r="J5" s="20" t="n">
        <v>32</v>
      </c>
      <c r="K5" s="21" t="n"/>
      <c r="L5" s="22" t="n">
        <v>23</v>
      </c>
      <c r="M5" s="23" t="n"/>
      <c r="N5" s="24" t="n"/>
      <c r="O5" s="25" t="n">
        <v>24</v>
      </c>
      <c r="P5" s="20" t="n">
        <v>1</v>
      </c>
      <c r="Q5" s="21" t="n"/>
      <c r="R5" s="26" t="n">
        <v>18</v>
      </c>
      <c r="S5" s="27" t="n">
        <v>1</v>
      </c>
      <c r="T5" s="28" t="n"/>
      <c r="U5" s="26" t="n">
        <v>21</v>
      </c>
      <c r="V5" s="27" t="n">
        <v>8</v>
      </c>
      <c r="W5" s="28" t="n"/>
      <c r="X5" s="29" t="n">
        <v>22.5</v>
      </c>
      <c r="Y5" s="30" t="n"/>
      <c r="Z5" s="31" t="n"/>
      <c r="AA5" s="29" t="n">
        <v>25</v>
      </c>
      <c r="AB5" s="30" t="n">
        <v>72</v>
      </c>
      <c r="AC5" s="31" t="n"/>
      <c r="AD5" s="29" t="n">
        <v>23</v>
      </c>
      <c r="AE5" s="30" t="n">
        <v>80</v>
      </c>
      <c r="AF5" s="32" t="n"/>
      <c r="AG5" s="22" t="n">
        <v>25</v>
      </c>
      <c r="AH5" s="33" t="n">
        <v>63</v>
      </c>
      <c r="AI5" s="24" t="n"/>
      <c r="AJ5" s="22" t="n">
        <v>22</v>
      </c>
      <c r="AK5" s="33" t="n">
        <v>33</v>
      </c>
      <c r="AL5" s="24" t="n"/>
      <c r="AM5" s="22" t="n">
        <v>23.5</v>
      </c>
      <c r="AN5" s="33" t="n">
        <v>40</v>
      </c>
      <c r="AO5" s="34" t="n"/>
      <c r="AP5" s="22" t="n">
        <v>24</v>
      </c>
      <c r="AQ5" s="35" t="n">
        <v>28</v>
      </c>
      <c r="AR5" s="36" t="n"/>
      <c r="AS5" s="37">
        <f>SUM(I5+L5+O5+R5+U5+X5+AA5+AD5+AG5+AJ5+AM5+AP5)</f>
        <v/>
      </c>
      <c r="AT5" s="38">
        <f>SUM(J5+M5+P5+S5+V5+Y5+AB5+AE5+AH5+AK5+AN5+AQ5)</f>
        <v/>
      </c>
      <c r="AU5" s="38">
        <f>SUM(K5+N5+Q5+T5+W5+Z5+AC5+AF5+AI5+AL5+AO5+AR5)</f>
        <v/>
      </c>
      <c r="AV5" s="18" t="inlineStr">
        <is>
          <t>OT</t>
        </is>
      </c>
    </row>
    <row r="6">
      <c r="A6" s="13" t="n">
        <v>2</v>
      </c>
      <c r="B6" s="241" t="inlineStr">
        <is>
          <t>นาง</t>
        </is>
      </c>
      <c r="C6" s="241" t="inlineStr">
        <is>
          <t>พรพิมล</t>
        </is>
      </c>
      <c r="D6" s="39" t="inlineStr">
        <is>
          <t>มั่นทอง</t>
        </is>
      </c>
      <c r="E6" s="40" t="n">
        <v>13500</v>
      </c>
      <c r="F6" s="41" t="n">
        <v>242463</v>
      </c>
      <c r="G6" s="42" t="inlineStr">
        <is>
          <t>ออฟฟิศ</t>
        </is>
      </c>
      <c r="H6" s="255" t="n">
        <v>5.5</v>
      </c>
      <c r="I6" s="43" t="n">
        <v>21.5</v>
      </c>
      <c r="J6" s="20" t="n"/>
      <c r="K6" s="21" t="n"/>
      <c r="L6" s="44" t="n">
        <v>22</v>
      </c>
      <c r="M6" s="23" t="n"/>
      <c r="N6" s="45" t="n"/>
      <c r="O6" s="46" t="n">
        <v>23.5</v>
      </c>
      <c r="P6" s="43" t="n">
        <v>8</v>
      </c>
      <c r="Q6" s="47" t="n"/>
      <c r="R6" s="48" t="n">
        <v>21</v>
      </c>
      <c r="S6" s="49" t="n"/>
      <c r="T6" s="50" t="n"/>
      <c r="U6" s="51" t="n">
        <v>23</v>
      </c>
      <c r="V6" s="52" t="n"/>
      <c r="W6" s="53" t="n"/>
      <c r="X6" s="54" t="n">
        <v>22.5</v>
      </c>
      <c r="Y6" s="55" t="n"/>
      <c r="Z6" s="56" t="n"/>
      <c r="AA6" s="54" t="n">
        <v>26</v>
      </c>
      <c r="AB6" s="55" t="n">
        <v>72</v>
      </c>
      <c r="AC6" s="56" t="n"/>
      <c r="AD6" s="54" t="n">
        <v>24.5</v>
      </c>
      <c r="AE6" s="55" t="n">
        <v>56</v>
      </c>
      <c r="AF6" s="56" t="n"/>
      <c r="AG6" s="57" t="n">
        <v>25</v>
      </c>
      <c r="AH6" s="58" t="n">
        <v>58</v>
      </c>
      <c r="AI6" s="45" t="n">
        <v>1</v>
      </c>
      <c r="AJ6" s="57" t="n">
        <v>24</v>
      </c>
      <c r="AK6" s="58" t="n">
        <v>43</v>
      </c>
      <c r="AL6" s="45" t="n"/>
      <c r="AM6" s="57" t="n">
        <v>23</v>
      </c>
      <c r="AN6" s="58" t="n">
        <v>56</v>
      </c>
      <c r="AO6" s="45" t="n">
        <v>1</v>
      </c>
      <c r="AP6" s="57" t="n">
        <v>23</v>
      </c>
      <c r="AQ6" s="58" t="n">
        <v>12</v>
      </c>
      <c r="AR6" s="45" t="n"/>
      <c r="AS6" s="37">
        <f>SUM(I6+L6+O6+R6+U6+X6+AA6+AD6+AG6+AJ6+AM6+AP6)</f>
        <v/>
      </c>
      <c r="AT6" s="38">
        <f>SUM(J6+M6+P6+S6+V6+Y6+AB6+AE6+AH6+AK6+AN6+AQ6)</f>
        <v/>
      </c>
      <c r="AU6" s="38">
        <f>SUM(K6+N6+Q6+T6+W6+Z6+AC6+AF6+AI6+AL6+AO6+AR6)</f>
        <v/>
      </c>
      <c r="AV6" s="18" t="inlineStr">
        <is>
          <t>OT</t>
        </is>
      </c>
    </row>
    <row r="7">
      <c r="A7" s="13" t="n">
        <v>3</v>
      </c>
      <c r="B7" s="241" t="inlineStr">
        <is>
          <t>น.ส.</t>
        </is>
      </c>
      <c r="C7" s="241" t="inlineStr">
        <is>
          <t>แสงงาม</t>
        </is>
      </c>
      <c r="D7" s="15" t="inlineStr">
        <is>
          <t>สะราคำ</t>
        </is>
      </c>
      <c r="E7" s="40" t="n">
        <v>20000</v>
      </c>
      <c r="F7" s="59" t="n">
        <v>234669</v>
      </c>
      <c r="G7" s="56" t="inlineStr">
        <is>
          <t>ออฟฟิศ</t>
        </is>
      </c>
      <c r="H7" s="255" t="n"/>
      <c r="I7" s="19" t="n">
        <v>22.5</v>
      </c>
      <c r="J7" s="43" t="n"/>
      <c r="K7" s="47" t="n"/>
      <c r="L7" s="44" t="n">
        <v>23</v>
      </c>
      <c r="M7" s="43" t="n">
        <v>1</v>
      </c>
      <c r="N7" s="47" t="n"/>
      <c r="O7" s="25" t="n">
        <v>25.5</v>
      </c>
      <c r="P7" s="19" t="n">
        <v>1</v>
      </c>
      <c r="Q7" s="60" t="n"/>
      <c r="R7" s="51" t="n">
        <v>22.5</v>
      </c>
      <c r="S7" s="52" t="n"/>
      <c r="T7" s="53" t="n"/>
      <c r="U7" s="61" t="n">
        <v>24.5</v>
      </c>
      <c r="V7" s="62" t="n">
        <v>2</v>
      </c>
      <c r="W7" s="63" t="n"/>
      <c r="X7" s="54" t="n">
        <v>22</v>
      </c>
      <c r="Y7" s="55" t="n"/>
      <c r="Z7" s="56" t="n"/>
      <c r="AA7" s="54" t="n">
        <v>24</v>
      </c>
      <c r="AB7" s="55" t="n"/>
      <c r="AC7" s="56" t="n"/>
      <c r="AD7" s="54" t="n">
        <v>24.5</v>
      </c>
      <c r="AE7" s="55" t="n"/>
      <c r="AF7" s="56" t="n"/>
      <c r="AG7" s="57" t="n">
        <v>26</v>
      </c>
      <c r="AH7" s="58" t="n">
        <v>3</v>
      </c>
      <c r="AI7" s="45" t="n"/>
      <c r="AJ7" s="57" t="n">
        <v>25</v>
      </c>
      <c r="AK7" s="58" t="n">
        <v>1</v>
      </c>
      <c r="AL7" s="45" t="n"/>
      <c r="AM7" s="57" t="n">
        <v>24</v>
      </c>
      <c r="AN7" s="58" t="n">
        <v>3</v>
      </c>
      <c r="AO7" s="45" t="n"/>
      <c r="AP7" s="57" t="n">
        <v>14</v>
      </c>
      <c r="AQ7" s="35" t="n">
        <v>1</v>
      </c>
      <c r="AR7" s="36" t="n"/>
      <c r="AS7" s="37">
        <f>SUM(I7+L7+O7+R7+U7+X7+AA7+AD7+AG7+AJ7+AM7+AP7)</f>
        <v/>
      </c>
      <c r="AT7" s="38">
        <f>SUM(J7+M7+P7+S7+V7+Y7+AB7+AE7+AH7+AK7+AN7+AQ7)</f>
        <v/>
      </c>
      <c r="AU7" s="38">
        <f>SUM(K7+N7+Q7+T7+W7+Z7+AC7+AF7+AI7+AL7+AO7+AR7)</f>
        <v/>
      </c>
      <c r="AV7" s="18" t="inlineStr">
        <is>
          <t>OT</t>
        </is>
      </c>
    </row>
    <row r="8">
      <c r="A8" s="13" t="n">
        <v>4</v>
      </c>
      <c r="B8" s="241" t="inlineStr">
        <is>
          <t>นาย</t>
        </is>
      </c>
      <c r="C8" s="241" t="inlineStr">
        <is>
          <t>กิตติศักดิ์</t>
        </is>
      </c>
      <c r="D8" s="74" t="inlineStr">
        <is>
          <t>ศรีสำปทวน</t>
        </is>
      </c>
      <c r="E8" s="75" t="inlineStr">
        <is>
          <t>358</t>
        </is>
      </c>
      <c r="F8" s="41" t="n">
        <v>235272</v>
      </c>
      <c r="G8" s="56" t="inlineStr">
        <is>
          <t>แผนกอัดหมวก</t>
        </is>
      </c>
      <c r="H8" s="256" t="n"/>
      <c r="I8" s="19" t="n">
        <v>25</v>
      </c>
      <c r="J8" s="19" t="n">
        <v>100</v>
      </c>
      <c r="K8" s="60" t="n">
        <v>1</v>
      </c>
      <c r="L8" s="57" t="n">
        <v>23</v>
      </c>
      <c r="M8" s="58" t="n">
        <v>88</v>
      </c>
      <c r="N8" s="45" t="n">
        <v>4</v>
      </c>
      <c r="O8" s="76" t="n">
        <v>26</v>
      </c>
      <c r="P8" s="76" t="n">
        <v>28</v>
      </c>
      <c r="Q8" s="77" t="n"/>
      <c r="R8" s="51" t="n">
        <v>21</v>
      </c>
      <c r="S8" s="52" t="n">
        <v>64</v>
      </c>
      <c r="T8" s="53" t="n"/>
      <c r="U8" s="66" t="n">
        <v>25</v>
      </c>
      <c r="V8" s="67" t="n">
        <v>26</v>
      </c>
      <c r="W8" s="68" t="n"/>
      <c r="X8" s="69" t="n">
        <v>23.5</v>
      </c>
      <c r="Y8" s="55" t="n">
        <v>73</v>
      </c>
      <c r="Z8" s="70" t="n"/>
      <c r="AA8" s="69" t="n">
        <v>25.5</v>
      </c>
      <c r="AB8" s="71" t="n">
        <v>92</v>
      </c>
      <c r="AC8" s="70" t="n"/>
      <c r="AD8" s="69" t="n">
        <v>23.5</v>
      </c>
      <c r="AE8" s="71" t="n">
        <v>24</v>
      </c>
      <c r="AF8" s="70" t="n"/>
      <c r="AG8" s="57" t="n">
        <v>25</v>
      </c>
      <c r="AH8" s="58" t="n">
        <v>92</v>
      </c>
      <c r="AI8" s="45" t="n">
        <v>2</v>
      </c>
      <c r="AJ8" s="57" t="n">
        <v>25.5</v>
      </c>
      <c r="AK8" s="58" t="n">
        <v>63</v>
      </c>
      <c r="AL8" s="45" t="n"/>
      <c r="AM8" s="57" t="n">
        <v>25</v>
      </c>
      <c r="AN8" s="58" t="n">
        <v>88</v>
      </c>
      <c r="AO8" s="45" t="n"/>
      <c r="AP8" s="57" t="n">
        <v>24</v>
      </c>
      <c r="AQ8" s="72" t="n">
        <v>88</v>
      </c>
      <c r="AR8" s="73" t="n"/>
      <c r="AS8" s="37">
        <f>SUM(I8+L8+O8+R8+U8+X8+AA8+AD8+AG8+AJ8+AM8+AP8)</f>
        <v/>
      </c>
      <c r="AT8" s="38">
        <f>SUM(J8+M8+P8+S8+V8+Y8+AB8+AE8+AH8+AK8+AN8+AQ8)</f>
        <v/>
      </c>
      <c r="AU8" s="38">
        <f>SUM(K8+N8+Q8+T8+W8+Z8+AC8+AF8+AI8+AL8+AO8+AR8)</f>
        <v/>
      </c>
      <c r="AV8" s="18" t="inlineStr">
        <is>
          <t>OT</t>
        </is>
      </c>
    </row>
    <row r="9">
      <c r="A9" s="13" t="n">
        <v>5</v>
      </c>
      <c r="B9" s="241" t="inlineStr">
        <is>
          <t>นาย</t>
        </is>
      </c>
      <c r="C9" s="241" t="inlineStr">
        <is>
          <t>เกรียงไกร</t>
        </is>
      </c>
      <c r="D9" s="74" t="inlineStr">
        <is>
          <t>พึ่งพวก</t>
        </is>
      </c>
      <c r="E9" s="75" t="inlineStr">
        <is>
          <t>420</t>
        </is>
      </c>
      <c r="F9" s="41" t="n">
        <v>243871</v>
      </c>
      <c r="G9" s="56" t="inlineStr">
        <is>
          <t>ขับรถ</t>
        </is>
      </c>
      <c r="H9" s="256" t="n"/>
      <c r="I9" s="19" t="n">
        <v>18</v>
      </c>
      <c r="J9" s="20" t="n">
        <v>18.5</v>
      </c>
      <c r="K9" s="21" t="n"/>
      <c r="L9" s="78" t="n">
        <v>20</v>
      </c>
      <c r="M9" s="23" t="n">
        <v>32.5</v>
      </c>
      <c r="N9" s="24" t="n"/>
      <c r="O9" s="76" t="n">
        <v>22.5</v>
      </c>
      <c r="P9" s="76" t="n">
        <v>25</v>
      </c>
      <c r="Q9" s="77" t="n"/>
      <c r="R9" s="51" t="n">
        <v>14.5</v>
      </c>
      <c r="S9" s="52" t="n">
        <v>18.5</v>
      </c>
      <c r="T9" s="53" t="n"/>
      <c r="U9" s="66" t="n">
        <v>24.5</v>
      </c>
      <c r="V9" s="67" t="n">
        <v>48.5</v>
      </c>
      <c r="W9" s="68" t="n"/>
      <c r="X9" s="69" t="n">
        <v>15</v>
      </c>
      <c r="Y9" s="55" t="n">
        <v>36</v>
      </c>
      <c r="Z9" s="70" t="n"/>
      <c r="AA9" s="69" t="n">
        <v>22.5</v>
      </c>
      <c r="AB9" s="71" t="n">
        <v>41</v>
      </c>
      <c r="AC9" s="70" t="n"/>
      <c r="AD9" s="69" t="n">
        <v>22</v>
      </c>
      <c r="AE9" s="71" t="n">
        <v>39.5</v>
      </c>
      <c r="AF9" s="70" t="n"/>
      <c r="AG9" s="57" t="n">
        <v>23</v>
      </c>
      <c r="AH9" s="58" t="n">
        <v>70.5</v>
      </c>
      <c r="AI9" s="45" t="n">
        <v>1</v>
      </c>
      <c r="AJ9" s="57" t="n">
        <v>23</v>
      </c>
      <c r="AK9" s="58" t="n">
        <v>60</v>
      </c>
      <c r="AL9" s="45" t="n"/>
      <c r="AM9" s="57" t="n">
        <v>22.5</v>
      </c>
      <c r="AN9" s="58" t="n">
        <v>38.5</v>
      </c>
      <c r="AO9" s="45" t="n"/>
      <c r="AP9" s="57" t="n">
        <v>17</v>
      </c>
      <c r="AQ9" s="72" t="n">
        <v>25</v>
      </c>
      <c r="AR9" s="73" t="n"/>
      <c r="AS9" s="37">
        <f>SUM(I9+L9+O9+R9+U9+X9+AA9+AD9+AG9+AJ9+AM9+AP9)</f>
        <v/>
      </c>
      <c r="AT9" s="38">
        <f>SUM(J9+M9+P9+S9+V9+Y9+AB9+AE9+AH9+AK9+AN9+AQ9)</f>
        <v/>
      </c>
      <c r="AU9" s="38">
        <f>SUM(K9+N9+Q9+T9+W9+Z9+AC9+AF9+AI9+AL9+AO9+AR9)</f>
        <v/>
      </c>
      <c r="AV9" s="18" t="inlineStr">
        <is>
          <t>OT</t>
        </is>
      </c>
    </row>
    <row r="10">
      <c r="A10" s="13" t="n">
        <v>6</v>
      </c>
      <c r="B10" s="241" t="inlineStr">
        <is>
          <t>นาย</t>
        </is>
      </c>
      <c r="C10" s="241" t="inlineStr">
        <is>
          <t>คมสัน</t>
        </is>
      </c>
      <c r="D10" s="74" t="inlineStr">
        <is>
          <t>บุญมา</t>
        </is>
      </c>
      <c r="E10" s="75" t="inlineStr">
        <is>
          <t>348</t>
        </is>
      </c>
      <c r="F10" s="41" t="n">
        <v>243740</v>
      </c>
      <c r="G10" s="56" t="inlineStr">
        <is>
          <t>แผนกสี</t>
        </is>
      </c>
      <c r="H10" s="256" t="n"/>
      <c r="I10" s="19" t="n">
        <v>25</v>
      </c>
      <c r="J10" s="20" t="n"/>
      <c r="K10" s="21" t="n"/>
      <c r="L10" s="78" t="n">
        <v>24</v>
      </c>
      <c r="M10" s="23" t="n">
        <v>26</v>
      </c>
      <c r="N10" s="24" t="n"/>
      <c r="O10" s="76" t="n">
        <v>26</v>
      </c>
      <c r="P10" s="76" t="n"/>
      <c r="Q10" s="77" t="n"/>
      <c r="R10" s="51" t="n">
        <v>23</v>
      </c>
      <c r="S10" s="52" t="n">
        <v>1</v>
      </c>
      <c r="T10" s="53" t="n"/>
      <c r="U10" s="66" t="n">
        <v>25</v>
      </c>
      <c r="V10" s="67" t="n">
        <v>9.5</v>
      </c>
      <c r="W10" s="68" t="n"/>
      <c r="X10" s="69" t="n">
        <v>21</v>
      </c>
      <c r="Y10" s="55" t="n">
        <v>2</v>
      </c>
      <c r="Z10" s="70" t="n"/>
      <c r="AA10" s="69" t="n">
        <v>24</v>
      </c>
      <c r="AB10" s="71" t="n">
        <v>1</v>
      </c>
      <c r="AC10" s="70" t="n"/>
      <c r="AD10" s="69" t="n">
        <v>24</v>
      </c>
      <c r="AE10" s="71" t="n">
        <v>68</v>
      </c>
      <c r="AF10" s="70" t="n"/>
      <c r="AG10" s="57" t="n">
        <v>26</v>
      </c>
      <c r="AH10" s="58" t="n">
        <v>92</v>
      </c>
      <c r="AI10" s="45" t="n">
        <v>2</v>
      </c>
      <c r="AJ10" s="57" t="n">
        <v>26</v>
      </c>
      <c r="AK10" s="58" t="n">
        <v>71</v>
      </c>
      <c r="AL10" s="45" t="n"/>
      <c r="AM10" s="57" t="n">
        <v>23.5</v>
      </c>
      <c r="AN10" s="58" t="n">
        <v>40</v>
      </c>
      <c r="AO10" s="45" t="n"/>
      <c r="AP10" s="57" t="n">
        <v>21</v>
      </c>
      <c r="AQ10" s="72" t="n"/>
      <c r="AR10" s="73" t="n"/>
      <c r="AS10" s="37">
        <f>SUM(I10+L10+O10+R10+U10+X10+AA10+AD10+AG10+AJ10+AM10+AP10)</f>
        <v/>
      </c>
      <c r="AT10" s="38">
        <f>SUM(J10+M10+P10+S10+V10+Y10+AB10+AE10+AH10+AK10+AN10+AQ10)</f>
        <v/>
      </c>
      <c r="AU10" s="38">
        <f>SUM(K10+N10+Q10+T10+W10+Z10+AC10+AF10+AI10+AL10+AO10+AR10)</f>
        <v/>
      </c>
      <c r="AV10" s="56" t="inlineStr">
        <is>
          <t>OT PAINT</t>
        </is>
      </c>
    </row>
    <row r="11">
      <c r="A11" s="13" t="n">
        <v>7</v>
      </c>
      <c r="B11" s="241" t="inlineStr">
        <is>
          <t>น.ส.</t>
        </is>
      </c>
      <c r="C11" s="241" t="inlineStr">
        <is>
          <t>จารุวรรณ</t>
        </is>
      </c>
      <c r="D11" s="74" t="inlineStr">
        <is>
          <t>เปี่ยมเสน</t>
        </is>
      </c>
      <c r="E11" s="75" t="inlineStr">
        <is>
          <t>348</t>
        </is>
      </c>
      <c r="F11" s="79" t="n">
        <v>238512</v>
      </c>
      <c r="G11" s="56" t="inlineStr">
        <is>
          <t>ทั่วไป</t>
        </is>
      </c>
      <c r="H11" s="171" t="n"/>
      <c r="I11" s="19" t="n">
        <v>20.5</v>
      </c>
      <c r="J11" s="20" t="n"/>
      <c r="K11" s="21" t="n"/>
      <c r="L11" s="78" t="n">
        <v>22</v>
      </c>
      <c r="M11" s="23" t="n"/>
      <c r="N11" s="24" t="n"/>
      <c r="O11" s="76" t="n">
        <v>22.5</v>
      </c>
      <c r="P11" s="76" t="n"/>
      <c r="Q11" s="77" t="n"/>
      <c r="R11" s="51" t="n">
        <v>20.5</v>
      </c>
      <c r="S11" s="52" t="n"/>
      <c r="T11" s="53" t="n"/>
      <c r="U11" s="66" t="n">
        <v>23</v>
      </c>
      <c r="V11" s="67" t="n"/>
      <c r="W11" s="68" t="n"/>
      <c r="X11" s="69" t="n">
        <v>21</v>
      </c>
      <c r="Y11" s="55" t="n"/>
      <c r="Z11" s="70" t="n"/>
      <c r="AA11" s="69" t="n">
        <v>25</v>
      </c>
      <c r="AB11" s="71" t="n"/>
      <c r="AC11" s="70" t="n"/>
      <c r="AD11" s="69" t="n">
        <v>23</v>
      </c>
      <c r="AE11" s="71" t="n"/>
      <c r="AF11" s="70" t="n"/>
      <c r="AG11" s="57" t="n">
        <v>24</v>
      </c>
      <c r="AH11" s="58" t="n"/>
      <c r="AI11" s="45" t="n"/>
      <c r="AJ11" s="57" t="n">
        <v>20.5</v>
      </c>
      <c r="AK11" s="58" t="n"/>
      <c r="AL11" s="45" t="n"/>
      <c r="AM11" s="57" t="n">
        <v>24.4</v>
      </c>
      <c r="AN11" s="58" t="n"/>
      <c r="AO11" s="45" t="n"/>
      <c r="AP11" s="57" t="n">
        <v>25</v>
      </c>
      <c r="AQ11" s="58" t="n"/>
      <c r="AR11" s="45" t="n"/>
      <c r="AS11" s="37">
        <f>SUM(I11+L11+O11+R11+U11+X11+AA11+AD11+AG11+AJ11+AM11+AP11)</f>
        <v/>
      </c>
      <c r="AT11" s="38">
        <f>SUM(J11+M11+P11+S11+V11+Y11+AB11+AE11+AH11+AK11+AN11+AQ11)</f>
        <v/>
      </c>
      <c r="AU11" s="38">
        <f>SUM(K11+N11+Q11+T11+W11+Z11+AC11+AF11+AI11+AL11+AO11+AR11)</f>
        <v/>
      </c>
      <c r="AV11" s="18" t="inlineStr">
        <is>
          <t>OT</t>
        </is>
      </c>
    </row>
    <row r="12">
      <c r="A12" s="13" t="n">
        <v>8</v>
      </c>
      <c r="B12" s="241" t="inlineStr">
        <is>
          <t>น.ส.</t>
        </is>
      </c>
      <c r="C12" s="241" t="inlineStr">
        <is>
          <t>จิราภรณ์</t>
        </is>
      </c>
      <c r="D12" s="74" t="inlineStr">
        <is>
          <t>สิงห์บุตร</t>
        </is>
      </c>
      <c r="E12" s="65" t="inlineStr">
        <is>
          <t>350</t>
        </is>
      </c>
      <c r="F12" s="41" t="n">
        <v>240984</v>
      </c>
      <c r="G12" s="18" t="inlineStr">
        <is>
          <t>สโตร์</t>
        </is>
      </c>
      <c r="H12" s="171" t="n"/>
      <c r="I12" s="19" t="n">
        <v>21.5</v>
      </c>
      <c r="J12" s="20" t="n">
        <v>56</v>
      </c>
      <c r="K12" s="21" t="n"/>
      <c r="L12" s="78" t="n">
        <v>21</v>
      </c>
      <c r="M12" s="23" t="n">
        <v>52</v>
      </c>
      <c r="N12" s="24" t="n"/>
      <c r="O12" s="76" t="n">
        <v>23.5</v>
      </c>
      <c r="P12" s="76" t="n">
        <v>24</v>
      </c>
      <c r="Q12" s="77" t="n"/>
      <c r="R12" s="51" t="n">
        <v>19</v>
      </c>
      <c r="S12" s="52" t="n">
        <v>48</v>
      </c>
      <c r="T12" s="53" t="n"/>
      <c r="U12" s="66" t="n">
        <v>20</v>
      </c>
      <c r="V12" s="67" t="n">
        <v>36</v>
      </c>
      <c r="W12" s="68" t="n"/>
      <c r="X12" s="69" t="n">
        <v>11</v>
      </c>
      <c r="Y12" s="55" t="n">
        <v>20</v>
      </c>
      <c r="Z12" s="70" t="n"/>
      <c r="AA12" s="69" t="n">
        <v>21</v>
      </c>
      <c r="AB12" s="71" t="n">
        <v>60</v>
      </c>
      <c r="AC12" s="70" t="n"/>
      <c r="AD12" s="69" t="n">
        <v>21</v>
      </c>
      <c r="AE12" s="71" t="n">
        <v>64</v>
      </c>
      <c r="AF12" s="70" t="n"/>
      <c r="AG12" s="57" t="n">
        <v>24</v>
      </c>
      <c r="AH12" s="58" t="n">
        <v>72</v>
      </c>
      <c r="AI12" s="45" t="n"/>
      <c r="AJ12" s="57" t="n">
        <v>24.5</v>
      </c>
      <c r="AK12" s="58" t="n">
        <v>68</v>
      </c>
      <c r="AL12" s="45" t="n"/>
      <c r="AM12" s="57" t="n">
        <v>22.5</v>
      </c>
      <c r="AN12" s="58" t="n">
        <v>60</v>
      </c>
      <c r="AO12" s="45" t="n"/>
      <c r="AP12" s="57" t="n">
        <v>22.5</v>
      </c>
      <c r="AQ12" s="35" t="n">
        <v>56</v>
      </c>
      <c r="AR12" s="36" t="n"/>
      <c r="AS12" s="37">
        <f>SUM(I12+L12+O12+R12+U12+X12+AA12+AD12+AG12+AJ12+AM12+AP12)</f>
        <v/>
      </c>
      <c r="AT12" s="38">
        <f>SUM(J12+M12+P12+S12+V12+Y12+AB12+AE12+AH12+AK12+AN12+AQ12)</f>
        <v/>
      </c>
      <c r="AU12" s="38">
        <f>SUM(K12+N12+Q12+T12+W12+Z12+AC12+AF12+AI12+AL12+AO12+AR12)</f>
        <v/>
      </c>
      <c r="AV12" s="18" t="inlineStr">
        <is>
          <t>OT</t>
        </is>
      </c>
    </row>
    <row r="13">
      <c r="A13" s="13" t="n">
        <v>9</v>
      </c>
      <c r="B13" s="241" t="inlineStr">
        <is>
          <t>นาย</t>
        </is>
      </c>
      <c r="C13" s="241" t="inlineStr">
        <is>
          <t>ชยันต์</t>
        </is>
      </c>
      <c r="D13" s="74" t="inlineStr">
        <is>
          <t>บุญจันทร์</t>
        </is>
      </c>
      <c r="E13" s="80" t="inlineStr">
        <is>
          <t>348</t>
        </is>
      </c>
      <c r="F13" s="41" t="n">
        <v>242303</v>
      </c>
      <c r="G13" s="56" t="inlineStr">
        <is>
          <t>แผนกอัดหมวก</t>
        </is>
      </c>
      <c r="H13" s="256" t="n"/>
      <c r="I13" s="19" t="n">
        <v>22</v>
      </c>
      <c r="J13" s="76" t="n"/>
      <c r="K13" s="77" t="n"/>
      <c r="L13" s="81" t="n">
        <v>21.5</v>
      </c>
      <c r="M13" s="72" t="n">
        <v>48</v>
      </c>
      <c r="N13" s="73" t="n"/>
      <c r="O13" s="76" t="n">
        <v>24.5</v>
      </c>
      <c r="P13" s="76" t="n">
        <v>4</v>
      </c>
      <c r="Q13" s="77" t="n"/>
      <c r="R13" s="51" t="n">
        <v>20</v>
      </c>
      <c r="S13" s="52" t="n">
        <v>8</v>
      </c>
      <c r="T13" s="53" t="n"/>
      <c r="U13" s="66" t="n">
        <v>23.5</v>
      </c>
      <c r="V13" s="67" t="n">
        <v>18.5</v>
      </c>
      <c r="W13" s="68" t="n"/>
      <c r="X13" s="82" t="n">
        <v>18</v>
      </c>
      <c r="Y13" s="55" t="n">
        <v>12</v>
      </c>
      <c r="Z13" s="83" t="n"/>
      <c r="AA13" s="82" t="n">
        <v>24</v>
      </c>
      <c r="AB13" s="84" t="n">
        <v>44</v>
      </c>
      <c r="AC13" s="83" t="n"/>
      <c r="AD13" s="82" t="n">
        <v>22.5</v>
      </c>
      <c r="AE13" s="84" t="n">
        <v>24</v>
      </c>
      <c r="AF13" s="83" t="n"/>
      <c r="AG13" s="78" t="n">
        <v>25</v>
      </c>
      <c r="AH13" s="23" t="n">
        <v>54</v>
      </c>
      <c r="AI13" s="24" t="n"/>
      <c r="AJ13" s="78" t="n">
        <v>20.5</v>
      </c>
      <c r="AK13" s="23" t="n">
        <v>19</v>
      </c>
      <c r="AL13" s="24" t="n"/>
      <c r="AM13" s="78" t="n">
        <v>21</v>
      </c>
      <c r="AN13" s="23" t="n">
        <v>12</v>
      </c>
      <c r="AO13" s="24" t="n"/>
      <c r="AP13" s="78" t="n">
        <v>20</v>
      </c>
      <c r="AQ13" s="58" t="n">
        <v>16</v>
      </c>
      <c r="AR13" s="45" t="n"/>
      <c r="AS13" s="37">
        <f>SUM(I13+L13+O13+R13+U13+X13+AA13+AD13+AG13+AJ13+AM13+AP13)</f>
        <v/>
      </c>
      <c r="AT13" s="38">
        <f>SUM(J13+M13+P13+S13+V13+Y13+AB13+AE13+AH13+AK13+AN13+AQ13)</f>
        <v/>
      </c>
      <c r="AU13" s="38">
        <f>SUM(K13+N13+Q13+T13+W13+Z13+AC13+AF13+AI13+AL13+AO13+AR13)</f>
        <v/>
      </c>
      <c r="AV13" s="18" t="inlineStr">
        <is>
          <t>OT</t>
        </is>
      </c>
    </row>
    <row r="14">
      <c r="A14" s="13" t="n">
        <v>10</v>
      </c>
      <c r="B14" s="241" t="inlineStr">
        <is>
          <t>นาง</t>
        </is>
      </c>
      <c r="C14" s="241" t="inlineStr">
        <is>
          <t>ชุติมา</t>
        </is>
      </c>
      <c r="D14" s="74" t="inlineStr">
        <is>
          <t>นวลศรีไพร</t>
        </is>
      </c>
      <c r="E14" s="80" t="inlineStr">
        <is>
          <t>437</t>
        </is>
      </c>
      <c r="F14" s="59" t="n">
        <v>235354</v>
      </c>
      <c r="G14" s="32" t="inlineStr">
        <is>
          <t>หัวหน้าสโตร์</t>
        </is>
      </c>
      <c r="H14" s="256" t="n"/>
      <c r="I14" s="19" t="n">
        <v>23</v>
      </c>
      <c r="J14" s="19" t="n">
        <v>84</v>
      </c>
      <c r="K14" s="60" t="n"/>
      <c r="L14" s="57" t="n">
        <v>22.5</v>
      </c>
      <c r="M14" s="58" t="n">
        <v>76</v>
      </c>
      <c r="N14" s="45" t="n"/>
      <c r="O14" s="25" t="n">
        <v>26</v>
      </c>
      <c r="P14" s="76" t="n">
        <v>92</v>
      </c>
      <c r="Q14" s="77" t="n"/>
      <c r="R14" s="51" t="n">
        <v>21</v>
      </c>
      <c r="S14" s="52" t="n">
        <v>72</v>
      </c>
      <c r="T14" s="53" t="n"/>
      <c r="U14" s="66" t="n">
        <v>26</v>
      </c>
      <c r="V14" s="67" t="n">
        <v>88</v>
      </c>
      <c r="W14" s="68" t="n"/>
      <c r="X14" s="69" t="n">
        <v>23</v>
      </c>
      <c r="Y14" s="55" t="n">
        <v>73</v>
      </c>
      <c r="Z14" s="70" t="n"/>
      <c r="AA14" s="69" t="n">
        <v>23</v>
      </c>
      <c r="AB14" s="71" t="n">
        <v>92</v>
      </c>
      <c r="AC14" s="70" t="n"/>
      <c r="AD14" s="69" t="n">
        <v>23.5</v>
      </c>
      <c r="AE14" s="71" t="n">
        <v>84</v>
      </c>
      <c r="AF14" s="70" t="n"/>
      <c r="AG14" s="57" t="n">
        <v>25</v>
      </c>
      <c r="AH14" s="58" t="n">
        <v>94</v>
      </c>
      <c r="AI14" s="45" t="n">
        <v>2</v>
      </c>
      <c r="AJ14" s="57" t="n">
        <v>25</v>
      </c>
      <c r="AK14" s="58" t="n">
        <v>96</v>
      </c>
      <c r="AL14" s="45" t="n"/>
      <c r="AM14" s="57" t="n">
        <v>23.5</v>
      </c>
      <c r="AN14" s="58" t="n">
        <v>76</v>
      </c>
      <c r="AO14" s="45" t="n">
        <v>1</v>
      </c>
      <c r="AP14" s="57" t="n">
        <v>22</v>
      </c>
      <c r="AQ14" s="72" t="n">
        <v>72</v>
      </c>
      <c r="AR14" s="73" t="n"/>
      <c r="AS14" s="37">
        <f>SUM(I14+L14+O14+R14+U14+X14+AA14+AD14+AG14+AJ14+AM14+AP14)</f>
        <v/>
      </c>
      <c r="AT14" s="38">
        <f>SUM(J14+M14+P14+S14+V14+Y14+AB14+AE14+AH14+AK14+AN14+AQ14)</f>
        <v/>
      </c>
      <c r="AU14" s="38">
        <f>SUM(K14+N14+Q14+T14+W14+Z14+AC14+AF14+AI14+AL14+AO14+AR14)</f>
        <v/>
      </c>
      <c r="AV14" s="18" t="inlineStr">
        <is>
          <t>OT</t>
        </is>
      </c>
    </row>
    <row r="15">
      <c r="A15" s="13" t="n">
        <v>11</v>
      </c>
      <c r="B15" s="241" t="inlineStr">
        <is>
          <t>นาย</t>
        </is>
      </c>
      <c r="C15" s="241" t="inlineStr">
        <is>
          <t>ชูชาติ</t>
        </is>
      </c>
      <c r="D15" s="74" t="inlineStr">
        <is>
          <t>ไหมทอง</t>
        </is>
      </c>
      <c r="E15" s="80" t="inlineStr">
        <is>
          <t>545</t>
        </is>
      </c>
      <c r="F15" s="79" t="n">
        <v>235093</v>
      </c>
      <c r="G15" s="56" t="inlineStr">
        <is>
          <t>หัวหน้าแผนกสี</t>
        </is>
      </c>
      <c r="H15" s="171" t="n"/>
      <c r="I15" s="19" t="n">
        <v>24</v>
      </c>
      <c r="J15" s="76" t="n"/>
      <c r="K15" s="77" t="n"/>
      <c r="L15" s="81" t="n">
        <v>22</v>
      </c>
      <c r="M15" s="72" t="n">
        <v>47</v>
      </c>
      <c r="N15" s="73" t="n"/>
      <c r="O15" s="25" t="n">
        <v>22</v>
      </c>
      <c r="P15" s="19" t="n">
        <v>16</v>
      </c>
      <c r="Q15" s="60" t="n"/>
      <c r="R15" s="51" t="n">
        <v>18</v>
      </c>
      <c r="S15" s="52" t="n">
        <v>1</v>
      </c>
      <c r="T15" s="53" t="n"/>
      <c r="U15" s="66" t="n">
        <v>24</v>
      </c>
      <c r="V15" s="67" t="n">
        <v>44</v>
      </c>
      <c r="W15" s="68" t="n"/>
      <c r="X15" s="69" t="n">
        <v>24</v>
      </c>
      <c r="Y15" s="55" t="n">
        <v>70</v>
      </c>
      <c r="Z15" s="70" t="n"/>
      <c r="AA15" s="69" t="n">
        <v>26</v>
      </c>
      <c r="AB15" s="71" t="n">
        <v>101</v>
      </c>
      <c r="AC15" s="70" t="n"/>
      <c r="AD15" s="69" t="n">
        <v>25</v>
      </c>
      <c r="AE15" s="71" t="n">
        <v>88</v>
      </c>
      <c r="AF15" s="70" t="n"/>
      <c r="AG15" s="57" t="n">
        <v>26</v>
      </c>
      <c r="AH15" s="58" t="n">
        <v>106</v>
      </c>
      <c r="AI15" s="45" t="n">
        <v>2</v>
      </c>
      <c r="AJ15" s="57" t="n">
        <v>26</v>
      </c>
      <c r="AK15" s="58" t="n">
        <v>104</v>
      </c>
      <c r="AL15" s="45" t="n"/>
      <c r="AM15" s="57" t="n">
        <v>25</v>
      </c>
      <c r="AN15" s="58" t="n">
        <v>92</v>
      </c>
      <c r="AO15" s="45" t="n">
        <v>1</v>
      </c>
      <c r="AP15" s="57" t="n">
        <v>20</v>
      </c>
      <c r="AQ15" s="72" t="n">
        <v>16</v>
      </c>
      <c r="AR15" s="73" t="n"/>
      <c r="AS15" s="37">
        <f>SUM(I15+L15+O15+R15+U15+X15+AA15+AD15+AG15+AJ15+AM15+AP15)</f>
        <v/>
      </c>
      <c r="AT15" s="38">
        <f>SUM(J15+M15+P15+S15+V15+Y15+AB15+AE15+AH15+AK15+AN15+AQ15)</f>
        <v/>
      </c>
      <c r="AU15" s="38">
        <f>SUM(K15+N15+Q15+T15+W15+Z15+AC15+AF15+AI15+AL15+AO15+AR15)</f>
        <v/>
      </c>
      <c r="AV15" s="56" t="inlineStr">
        <is>
          <t>OT PAINT</t>
        </is>
      </c>
    </row>
    <row r="16">
      <c r="A16" s="13" t="n">
        <v>12</v>
      </c>
      <c r="B16" s="241" t="inlineStr">
        <is>
          <t>นาย</t>
        </is>
      </c>
      <c r="C16" s="241" t="inlineStr">
        <is>
          <t>ณรงค์</t>
        </is>
      </c>
      <c r="D16" s="74" t="inlineStr">
        <is>
          <t>เปี่ยมสิน</t>
        </is>
      </c>
      <c r="E16" s="65" t="inlineStr">
        <is>
          <t>418</t>
        </is>
      </c>
      <c r="F16" s="79" t="n">
        <v>241571</v>
      </c>
      <c r="G16" s="85" t="inlineStr">
        <is>
          <t>ไฟฟ้า</t>
        </is>
      </c>
      <c r="H16" s="172" t="n"/>
      <c r="I16" s="19" t="n">
        <v>23</v>
      </c>
      <c r="J16" s="76" t="n">
        <v>79</v>
      </c>
      <c r="K16" s="77" t="n"/>
      <c r="L16" s="81" t="n">
        <v>24</v>
      </c>
      <c r="M16" s="72" t="n">
        <v>56</v>
      </c>
      <c r="N16" s="73" t="n"/>
      <c r="O16" s="25" t="n">
        <v>25</v>
      </c>
      <c r="P16" s="76" t="n">
        <v>8</v>
      </c>
      <c r="Q16" s="77" t="n"/>
      <c r="R16" s="51" t="n">
        <v>10</v>
      </c>
      <c r="S16" s="52" t="n"/>
      <c r="T16" s="53" t="n"/>
      <c r="U16" s="66" t="n">
        <v>25</v>
      </c>
      <c r="V16" s="67" t="n">
        <v>9.5</v>
      </c>
      <c r="W16" s="68" t="n"/>
      <c r="X16" s="69" t="n">
        <v>22</v>
      </c>
      <c r="Y16" s="55" t="n">
        <v>92</v>
      </c>
      <c r="Z16" s="70" t="n"/>
      <c r="AA16" s="69" t="n">
        <v>26</v>
      </c>
      <c r="AB16" s="71" t="n">
        <v>136</v>
      </c>
      <c r="AC16" s="70" t="n"/>
      <c r="AD16" s="69" t="n">
        <v>25</v>
      </c>
      <c r="AE16" s="71" t="n">
        <v>132</v>
      </c>
      <c r="AF16" s="70" t="n">
        <v>1</v>
      </c>
      <c r="AG16" s="57" t="n">
        <v>26</v>
      </c>
      <c r="AH16" s="58" t="n">
        <v>202</v>
      </c>
      <c r="AI16" s="45" t="n"/>
      <c r="AJ16" s="57" t="n">
        <v>26</v>
      </c>
      <c r="AK16" s="58" t="n">
        <v>203</v>
      </c>
      <c r="AL16" s="45" t="n"/>
      <c r="AM16" s="57" t="n">
        <v>24</v>
      </c>
      <c r="AN16" s="58" t="n">
        <v>67</v>
      </c>
      <c r="AO16" s="45" t="n"/>
      <c r="AP16" s="57" t="n">
        <v>22</v>
      </c>
      <c r="AQ16" s="35" t="n">
        <v>23</v>
      </c>
      <c r="AR16" s="36" t="n"/>
      <c r="AS16" s="37">
        <f>SUM(I16+L16+O16+R16+U16+X16+AA16+AD16+AG16+AJ16+AM16+AP16)</f>
        <v/>
      </c>
      <c r="AT16" s="38">
        <f>SUM(J16+M16+P16+S16+V16+Y16+AB16+AE16+AH16+AK16+AN16+AQ16)</f>
        <v/>
      </c>
      <c r="AU16" s="38">
        <f>SUM(K16+N16+Q16+T16+W16+Z16+AC16+AF16+AI16+AL16+AO16+AR16)</f>
        <v/>
      </c>
      <c r="AV16" s="18" t="inlineStr">
        <is>
          <t>OT</t>
        </is>
      </c>
    </row>
    <row r="17">
      <c r="A17" s="13" t="n">
        <v>13</v>
      </c>
      <c r="B17" s="241" t="inlineStr">
        <is>
          <t>นาย</t>
        </is>
      </c>
      <c r="C17" s="241" t="inlineStr">
        <is>
          <t>ณวัศพงษ์</t>
        </is>
      </c>
      <c r="D17" s="74" t="inlineStr">
        <is>
          <t>สิทธิวิโรฒโภคิน</t>
        </is>
      </c>
      <c r="E17" s="75" t="inlineStr">
        <is>
          <t>363</t>
        </is>
      </c>
      <c r="F17" s="86" t="n">
        <v>243257</v>
      </c>
      <c r="G17" s="56" t="inlineStr">
        <is>
          <t>แผนกอัดหมวก</t>
        </is>
      </c>
      <c r="H17" s="173" t="n"/>
      <c r="I17" s="25" t="n">
        <v>22.5</v>
      </c>
      <c r="J17" s="76" t="n"/>
      <c r="K17" s="77" t="n"/>
      <c r="L17" s="81" t="n">
        <v>22</v>
      </c>
      <c r="M17" s="72" t="n">
        <v>44</v>
      </c>
      <c r="N17" s="73" t="n"/>
      <c r="O17" s="25" t="n">
        <v>25</v>
      </c>
      <c r="P17" s="76" t="n">
        <v>5</v>
      </c>
      <c r="Q17" s="77" t="n"/>
      <c r="R17" s="51" t="n">
        <v>22</v>
      </c>
      <c r="S17" s="52" t="n">
        <v>1</v>
      </c>
      <c r="T17" s="53" t="n"/>
      <c r="U17" s="66" t="n">
        <v>23.5</v>
      </c>
      <c r="V17" s="67" t="n">
        <v>4</v>
      </c>
      <c r="W17" s="68" t="n"/>
      <c r="X17" s="69" t="n">
        <v>18.5</v>
      </c>
      <c r="Y17" s="55" t="n">
        <v>60</v>
      </c>
      <c r="Z17" s="70" t="n"/>
      <c r="AA17" s="69" t="n">
        <v>25</v>
      </c>
      <c r="AB17" s="71" t="n">
        <v>88</v>
      </c>
      <c r="AC17" s="70" t="n"/>
      <c r="AD17" s="69" t="n">
        <v>23</v>
      </c>
      <c r="AE17" s="71" t="n">
        <v>56</v>
      </c>
      <c r="AF17" s="70" t="n"/>
      <c r="AG17" s="57" t="n">
        <v>26</v>
      </c>
      <c r="AH17" s="58" t="n">
        <v>90</v>
      </c>
      <c r="AI17" s="45" t="n"/>
      <c r="AJ17" s="57" t="n">
        <v>26</v>
      </c>
      <c r="AK17" s="58" t="n">
        <v>95</v>
      </c>
      <c r="AL17" s="45" t="n">
        <v>2</v>
      </c>
      <c r="AM17" s="57" t="n">
        <v>21.5</v>
      </c>
      <c r="AN17" s="58" t="n">
        <v>52</v>
      </c>
      <c r="AO17" s="45" t="n"/>
      <c r="AP17" s="57" t="n">
        <v>19</v>
      </c>
      <c r="AQ17" s="35" t="n">
        <v>4</v>
      </c>
      <c r="AR17" s="45" t="n"/>
      <c r="AS17" s="37">
        <f>SUM(I17+L17+O17+R17+U17+X17+AA17+AD17+AG17+AJ17+AM17+AP17)</f>
        <v/>
      </c>
      <c r="AT17" s="38">
        <f>SUM(J17+M17+P17+S17+V17+Y17+AB17+AE17+AH17+AK17+AN17+AQ17)</f>
        <v/>
      </c>
      <c r="AU17" s="38">
        <f>SUM(K17+N17+Q17+T17+W17+Z17+AC17+AF17+AI17+AL17+AO17+AR17)</f>
        <v/>
      </c>
      <c r="AV17" s="18" t="inlineStr">
        <is>
          <t>OT</t>
        </is>
      </c>
    </row>
    <row r="18">
      <c r="A18" s="13" t="n">
        <v>14</v>
      </c>
      <c r="B18" s="241" t="inlineStr">
        <is>
          <t>นาย</t>
        </is>
      </c>
      <c r="C18" s="241" t="inlineStr">
        <is>
          <t>ณัฐวุฒิ</t>
        </is>
      </c>
      <c r="D18" s="74" t="inlineStr">
        <is>
          <t>กุลแจ</t>
        </is>
      </c>
      <c r="E18" s="75" t="inlineStr">
        <is>
          <t>351</t>
        </is>
      </c>
      <c r="F18" s="86" t="n">
        <v>240598</v>
      </c>
      <c r="G18" s="32" t="inlineStr">
        <is>
          <t>แผนกตัดผ้า</t>
        </is>
      </c>
      <c r="H18" s="256" t="n"/>
      <c r="I18" s="19" t="n">
        <v>24</v>
      </c>
      <c r="J18" s="19" t="n"/>
      <c r="K18" s="60" t="n"/>
      <c r="L18" s="57" t="n">
        <v>23</v>
      </c>
      <c r="M18" s="58" t="n"/>
      <c r="N18" s="45" t="n"/>
      <c r="O18" s="25" t="n">
        <v>26</v>
      </c>
      <c r="P18" s="19" t="n"/>
      <c r="Q18" s="60" t="n"/>
      <c r="R18" s="51" t="n">
        <v>21</v>
      </c>
      <c r="S18" s="52" t="n"/>
      <c r="T18" s="53" t="n"/>
      <c r="U18" s="66" t="n">
        <v>24.5</v>
      </c>
      <c r="V18" s="67" t="n"/>
      <c r="W18" s="68" t="n"/>
      <c r="X18" s="69" t="n">
        <v>17</v>
      </c>
      <c r="Y18" s="55" t="n"/>
      <c r="Z18" s="70" t="n"/>
      <c r="AA18" s="69" t="n">
        <v>24</v>
      </c>
      <c r="AB18" s="71" t="n"/>
      <c r="AC18" s="70" t="n"/>
      <c r="AD18" s="69" t="n">
        <v>24</v>
      </c>
      <c r="AE18" s="71" t="n"/>
      <c r="AF18" s="70" t="n"/>
      <c r="AG18" s="57" t="n">
        <v>24.5</v>
      </c>
      <c r="AH18" s="58" t="n"/>
      <c r="AI18" s="45" t="n"/>
      <c r="AJ18" s="57" t="n">
        <v>25</v>
      </c>
      <c r="AK18" s="58" t="n"/>
      <c r="AL18" s="45" t="n"/>
      <c r="AM18" s="57" t="n">
        <v>21.5</v>
      </c>
      <c r="AN18" s="58" t="n"/>
      <c r="AO18" s="45" t="n"/>
      <c r="AP18" s="57" t="n">
        <v>21</v>
      </c>
      <c r="AQ18" s="72" t="n"/>
      <c r="AR18" s="73" t="n"/>
      <c r="AS18" s="37">
        <f>SUM(I18+L18+O18+R18+U18+X18+AA18+AD18+AG18+AJ18+AM18+AP18)</f>
        <v/>
      </c>
      <c r="AT18" s="38">
        <f>SUM(J18+M18+P18+S18+V18+Y18+AB18+AE18+AH18+AK18+AN18+AQ18)</f>
        <v/>
      </c>
      <c r="AU18" s="38">
        <f>SUM(K18+N18+Q18+T18+W18+Z18+AC18+AF18+AI18+AL18+AO18+AR18)</f>
        <v/>
      </c>
      <c r="AV18" s="18" t="inlineStr">
        <is>
          <t>OT</t>
        </is>
      </c>
    </row>
    <row r="19">
      <c r="A19" s="13" t="n">
        <v>15</v>
      </c>
      <c r="B19" s="241" t="inlineStr">
        <is>
          <t>นาย</t>
        </is>
      </c>
      <c r="C19" s="241" t="inlineStr">
        <is>
          <t>ดนัย</t>
        </is>
      </c>
      <c r="D19" s="74" t="inlineStr">
        <is>
          <t>ทองชื่น</t>
        </is>
      </c>
      <c r="E19" s="65" t="inlineStr">
        <is>
          <t>348</t>
        </is>
      </c>
      <c r="F19" s="86" t="n">
        <v>243651</v>
      </c>
      <c r="G19" s="56" t="inlineStr">
        <is>
          <t>แผนกสี</t>
        </is>
      </c>
      <c r="H19" s="256" t="n"/>
      <c r="I19" s="19" t="n">
        <v>24</v>
      </c>
      <c r="J19" s="76" t="n">
        <v>40</v>
      </c>
      <c r="K19" s="77" t="n"/>
      <c r="L19" s="81" t="n">
        <v>22</v>
      </c>
      <c r="M19" s="72" t="n">
        <v>48</v>
      </c>
      <c r="N19" s="73" t="n"/>
      <c r="O19" s="25" t="n">
        <v>25</v>
      </c>
      <c r="P19" s="19" t="n">
        <v>4</v>
      </c>
      <c r="Q19" s="60" t="n"/>
      <c r="R19" s="51" t="n">
        <v>22</v>
      </c>
      <c r="S19" s="52" t="n">
        <v>36</v>
      </c>
      <c r="T19" s="53" t="n"/>
      <c r="U19" s="66" t="n">
        <v>25.5</v>
      </c>
      <c r="V19" s="67" t="n">
        <v>37</v>
      </c>
      <c r="W19" s="68" t="n"/>
      <c r="X19" s="87" t="n">
        <v>19</v>
      </c>
      <c r="Y19" s="55" t="n">
        <v>24</v>
      </c>
      <c r="Z19" s="88" t="n"/>
      <c r="AA19" s="87" t="n">
        <v>24</v>
      </c>
      <c r="AB19" s="89" t="n">
        <v>52</v>
      </c>
      <c r="AC19" s="88" t="n"/>
      <c r="AD19" s="87" t="n">
        <v>23</v>
      </c>
      <c r="AE19" s="89" t="n">
        <v>60</v>
      </c>
      <c r="AF19" s="88" t="n"/>
      <c r="AG19" s="90" t="n">
        <v>26</v>
      </c>
      <c r="AH19" s="35" t="n">
        <v>82</v>
      </c>
      <c r="AI19" s="36" t="n">
        <v>2</v>
      </c>
      <c r="AJ19" s="90" t="n">
        <v>26</v>
      </c>
      <c r="AK19" s="35" t="n">
        <v>91</v>
      </c>
      <c r="AL19" s="36" t="n">
        <v>3</v>
      </c>
      <c r="AM19" s="90" t="n">
        <v>18.5</v>
      </c>
      <c r="AN19" s="35" t="n">
        <v>68</v>
      </c>
      <c r="AO19" s="36" t="n">
        <v>1</v>
      </c>
      <c r="AP19" s="90" t="n">
        <v>22</v>
      </c>
      <c r="AQ19" s="72" t="n">
        <v>56</v>
      </c>
      <c r="AR19" s="73" t="n"/>
      <c r="AS19" s="37">
        <f>SUM(I19+L19+O19+R19+U19+X19+AA19+AD19+AG19+AJ19+AM19+AP19)</f>
        <v/>
      </c>
      <c r="AT19" s="38">
        <f>SUM(J19+M19+P19+S19+V19+Y19+AB19+AE19+AH19+AK19+AN19+AQ19)</f>
        <v/>
      </c>
      <c r="AU19" s="38">
        <f>SUM(K19+N19+Q19+T19+W19+Z19+AC19+AF19+AI19+AL19+AO19+AR19)</f>
        <v/>
      </c>
      <c r="AV19" s="56" t="inlineStr">
        <is>
          <t>OT PAINT</t>
        </is>
      </c>
    </row>
    <row r="20">
      <c r="A20" s="13" t="n">
        <v>16</v>
      </c>
      <c r="B20" s="241" t="inlineStr">
        <is>
          <t>นาย</t>
        </is>
      </c>
      <c r="C20" s="241" t="inlineStr">
        <is>
          <t>ติ่ง</t>
        </is>
      </c>
      <c r="D20" s="74" t="inlineStr">
        <is>
          <t>นาคสังข์</t>
        </is>
      </c>
      <c r="E20" s="91" t="n">
        <v>503</v>
      </c>
      <c r="F20" s="41" t="n">
        <v>234856</v>
      </c>
      <c r="G20" s="56" t="inlineStr">
        <is>
          <t>หัวหน้าแผนกสี</t>
        </is>
      </c>
      <c r="H20" s="256" t="n"/>
      <c r="I20" s="19" t="n">
        <v>21.5</v>
      </c>
      <c r="J20" s="76" t="n">
        <v>1</v>
      </c>
      <c r="K20" s="77" t="n"/>
      <c r="L20" s="81" t="n">
        <v>23</v>
      </c>
      <c r="M20" s="72" t="n">
        <v>61</v>
      </c>
      <c r="N20" s="73" t="n"/>
      <c r="O20" s="25" t="n">
        <v>26</v>
      </c>
      <c r="P20" s="19" t="n">
        <v>8</v>
      </c>
      <c r="Q20" s="60" t="n"/>
      <c r="R20" s="51" t="n">
        <v>25</v>
      </c>
      <c r="S20" s="52" t="n"/>
      <c r="T20" s="53" t="n"/>
      <c r="U20" s="66" t="n">
        <v>26</v>
      </c>
      <c r="V20" s="67" t="n"/>
      <c r="W20" s="68" t="n"/>
      <c r="X20" s="18" t="n">
        <v>21</v>
      </c>
      <c r="Y20" s="55" t="n">
        <v>2</v>
      </c>
      <c r="Z20" s="92" t="n"/>
      <c r="AA20" s="18" t="n">
        <v>21</v>
      </c>
      <c r="AB20" s="93" t="n">
        <v>1</v>
      </c>
      <c r="AC20" s="92" t="n"/>
      <c r="AD20" s="18" t="n">
        <v>24</v>
      </c>
      <c r="AE20" s="93" t="n">
        <v>72</v>
      </c>
      <c r="AF20" s="92" t="n"/>
      <c r="AG20" s="90" t="n">
        <v>24</v>
      </c>
      <c r="AH20" s="35" t="n">
        <v>95</v>
      </c>
      <c r="AI20" s="36" t="n">
        <v>2</v>
      </c>
      <c r="AJ20" s="90" t="n">
        <v>24</v>
      </c>
      <c r="AK20" s="35" t="n">
        <v>79</v>
      </c>
      <c r="AL20" s="36" t="n"/>
      <c r="AM20" s="90" t="n">
        <v>24</v>
      </c>
      <c r="AN20" s="35" t="n">
        <v>73</v>
      </c>
      <c r="AO20" s="36" t="n">
        <v>1</v>
      </c>
      <c r="AP20" s="90" t="n">
        <v>24</v>
      </c>
      <c r="AQ20" s="72" t="n">
        <v>8</v>
      </c>
      <c r="AR20" s="73" t="n"/>
      <c r="AS20" s="37">
        <f>SUM(I20+L20+O20+R20+U20+X20+AA20+AD20+AG20+AJ20+AM20+AP20)</f>
        <v/>
      </c>
      <c r="AT20" s="38">
        <f>SUM(J20+M20+P20+S20+V20+Y20+AB20+AE20+AH20+AK20+AN20+AQ20)</f>
        <v/>
      </c>
      <c r="AU20" s="38">
        <f>SUM(K20+N20+Q20+T20+W20+Z20+AC20+AF20+AI20+AL20+AO20+AR20)</f>
        <v/>
      </c>
      <c r="AV20" s="56" t="inlineStr">
        <is>
          <t>OT PAINT</t>
        </is>
      </c>
    </row>
    <row r="21">
      <c r="A21" s="13" t="n">
        <v>17</v>
      </c>
      <c r="B21" s="241" t="inlineStr">
        <is>
          <t>นาย</t>
        </is>
      </c>
      <c r="C21" s="241" t="inlineStr">
        <is>
          <t>ทิม</t>
        </is>
      </c>
      <c r="D21" s="64" t="inlineStr">
        <is>
          <t>บุญมาทัน</t>
        </is>
      </c>
      <c r="E21" s="94" t="n">
        <v>348</v>
      </c>
      <c r="F21" s="59" t="n">
        <v>237008</v>
      </c>
      <c r="G21" s="56" t="inlineStr">
        <is>
          <t>แผนกตัดผ้า</t>
        </is>
      </c>
      <c r="H21" s="256" t="n"/>
      <c r="I21" s="19" t="n">
        <v>19</v>
      </c>
      <c r="J21" s="19" t="n"/>
      <c r="K21" s="60" t="n"/>
      <c r="L21" s="57" t="n">
        <v>16</v>
      </c>
      <c r="M21" s="58" t="n"/>
      <c r="N21" s="45" t="n"/>
      <c r="O21" s="25" t="n">
        <v>20</v>
      </c>
      <c r="P21" s="76" t="n"/>
      <c r="Q21" s="77" t="n"/>
      <c r="R21" s="51" t="n">
        <v>18</v>
      </c>
      <c r="S21" s="52" t="n"/>
      <c r="T21" s="53" t="n"/>
      <c r="U21" s="66" t="n">
        <v>25</v>
      </c>
      <c r="V21" s="67" t="n"/>
      <c r="W21" s="68" t="n"/>
      <c r="X21" s="54" t="n">
        <v>20</v>
      </c>
      <c r="Y21" s="55" t="n"/>
      <c r="Z21" s="56" t="n"/>
      <c r="AA21" s="54" t="n">
        <v>23</v>
      </c>
      <c r="AB21" s="55" t="n"/>
      <c r="AC21" s="56" t="n"/>
      <c r="AD21" s="54" t="n">
        <v>20</v>
      </c>
      <c r="AE21" s="55" t="n"/>
      <c r="AF21" s="56" t="n"/>
      <c r="AG21" s="57" t="n">
        <v>26</v>
      </c>
      <c r="AH21" s="58" t="n">
        <v>80</v>
      </c>
      <c r="AI21" s="45" t="n"/>
      <c r="AJ21" s="57" t="n">
        <v>24</v>
      </c>
      <c r="AK21" s="58" t="n">
        <v>95</v>
      </c>
      <c r="AL21" s="45" t="n"/>
      <c r="AM21" s="57" t="n">
        <v>25</v>
      </c>
      <c r="AN21" s="58" t="n">
        <v>100</v>
      </c>
      <c r="AO21" s="45" t="n"/>
      <c r="AP21" s="57" t="n">
        <v>18</v>
      </c>
      <c r="AQ21" s="72" t="n">
        <v>24</v>
      </c>
      <c r="AR21" s="73" t="n"/>
      <c r="AS21" s="37">
        <f>SUM(I21+L21+O21+R21+U21+X21+AA21+AD21+AG21+AJ21+AM21+AP21)</f>
        <v/>
      </c>
      <c r="AT21" s="38">
        <f>SUM(J21+M21+P21+S21+V21+Y21+AB21+AE21+AH21+AK21+AN21+AQ21)</f>
        <v/>
      </c>
      <c r="AU21" s="38">
        <f>SUM(K21+N21+Q21+T21+W21+Z21+AC21+AF21+AI21+AL21+AO21+AR21)</f>
        <v/>
      </c>
      <c r="AV21" s="18" t="inlineStr">
        <is>
          <t>OT</t>
        </is>
      </c>
    </row>
    <row r="22">
      <c r="A22" s="13" t="n">
        <v>18</v>
      </c>
      <c r="B22" s="241" t="inlineStr">
        <is>
          <t>นาย</t>
        </is>
      </c>
      <c r="C22" s="241" t="inlineStr">
        <is>
          <t>ธงชัย</t>
        </is>
      </c>
      <c r="D22" s="74" t="inlineStr">
        <is>
          <t>โพธิ์หิรัญ</t>
        </is>
      </c>
      <c r="E22" s="94" t="n">
        <v>388</v>
      </c>
      <c r="F22" s="79" t="n">
        <v>233710</v>
      </c>
      <c r="G22" s="56" t="inlineStr">
        <is>
          <t>แผนกสี</t>
        </is>
      </c>
      <c r="H22" s="256" t="n"/>
      <c r="I22" s="19" t="n">
        <v>24</v>
      </c>
      <c r="J22" s="20" t="n"/>
      <c r="K22" s="60" t="n"/>
      <c r="L22" s="78" t="n">
        <v>24</v>
      </c>
      <c r="M22" s="23" t="n"/>
      <c r="N22" s="24" t="n"/>
      <c r="O22" s="25" t="n">
        <v>26</v>
      </c>
      <c r="P22" s="19" t="n"/>
      <c r="Q22" s="60" t="n"/>
      <c r="R22" s="51" t="n">
        <v>23</v>
      </c>
      <c r="S22" s="52" t="n"/>
      <c r="T22" s="53" t="n"/>
      <c r="U22" s="66" t="n">
        <v>26</v>
      </c>
      <c r="V22" s="67" t="n"/>
      <c r="W22" s="68" t="n"/>
      <c r="X22" s="54" t="n">
        <v>23</v>
      </c>
      <c r="Y22" s="55" t="n"/>
      <c r="Z22" s="56" t="n"/>
      <c r="AA22" s="54" t="n">
        <v>26</v>
      </c>
      <c r="AB22" s="55" t="n"/>
      <c r="AC22" s="56" t="n"/>
      <c r="AD22" s="54" t="n">
        <v>23.5</v>
      </c>
      <c r="AE22" s="55" t="n"/>
      <c r="AF22" s="56" t="n"/>
      <c r="AG22" s="57" t="n">
        <v>25</v>
      </c>
      <c r="AH22" s="58" t="n"/>
      <c r="AI22" s="45" t="n"/>
      <c r="AJ22" s="57" t="n">
        <v>25</v>
      </c>
      <c r="AK22" s="58" t="n"/>
      <c r="AL22" s="45" t="n"/>
      <c r="AM22" s="57" t="n">
        <v>24</v>
      </c>
      <c r="AN22" s="35" t="n"/>
      <c r="AO22" s="36" t="n"/>
      <c r="AP22" s="90" t="n">
        <v>23</v>
      </c>
      <c r="AQ22" s="72" t="n"/>
      <c r="AR22" s="73" t="n"/>
      <c r="AS22" s="37">
        <f>SUM(I22+L22+O22+R22+U22+X22+AA22+AD22+AG22+AJ22+AM22+AP22)</f>
        <v/>
      </c>
      <c r="AT22" s="38">
        <f>SUM(J22+M22+P22+S22+V22+Y22+AB22+AE22+AH22+AK22+AN22+AQ22)</f>
        <v/>
      </c>
      <c r="AU22" s="38">
        <f>SUM(K22+N22+Q22+T22+W22+Z22+AC22+AF22+AI22+AL22+AO22+AR22)</f>
        <v/>
      </c>
      <c r="AV22" s="56" t="inlineStr">
        <is>
          <t>OT PAINT</t>
        </is>
      </c>
    </row>
    <row r="23">
      <c r="A23" s="13" t="n">
        <v>19</v>
      </c>
      <c r="B23" s="241" t="inlineStr">
        <is>
          <t>นาย</t>
        </is>
      </c>
      <c r="C23" s="241" t="inlineStr">
        <is>
          <t>ธนงค์พร</t>
        </is>
      </c>
      <c r="D23" s="74" t="inlineStr">
        <is>
          <t>อ่อนคำ</t>
        </is>
      </c>
      <c r="E23" s="95" t="n">
        <v>348</v>
      </c>
      <c r="F23" s="41" t="n">
        <v>238512</v>
      </c>
      <c r="G23" s="18" t="inlineStr">
        <is>
          <t>แผนกสี</t>
        </is>
      </c>
      <c r="H23" s="171" t="n"/>
      <c r="I23" s="19" t="n">
        <v>24</v>
      </c>
      <c r="J23" s="20" t="n"/>
      <c r="K23" s="21" t="n"/>
      <c r="L23" s="78" t="n">
        <v>23</v>
      </c>
      <c r="M23" s="23" t="n">
        <v>40</v>
      </c>
      <c r="N23" s="24" t="n"/>
      <c r="O23" s="25" t="n">
        <v>25.5</v>
      </c>
      <c r="P23" s="76" t="n">
        <v>4</v>
      </c>
      <c r="Q23" s="77" t="n"/>
      <c r="R23" s="51" t="n">
        <v>21</v>
      </c>
      <c r="S23" s="52" t="n"/>
      <c r="T23" s="53" t="n"/>
      <c r="U23" s="66" t="n">
        <v>24</v>
      </c>
      <c r="V23" s="67" t="n"/>
      <c r="W23" s="68" t="n"/>
      <c r="X23" s="69" t="n">
        <v>24</v>
      </c>
      <c r="Y23" s="71" t="n"/>
      <c r="Z23" s="70" t="n"/>
      <c r="AA23" s="69" t="n">
        <v>25.5</v>
      </c>
      <c r="AB23" s="71" t="n"/>
      <c r="AC23" s="70" t="n"/>
      <c r="AD23" s="69" t="n">
        <v>25</v>
      </c>
      <c r="AE23" s="71" t="n">
        <v>72</v>
      </c>
      <c r="AF23" s="70" t="n"/>
      <c r="AG23" s="57" t="n">
        <v>26</v>
      </c>
      <c r="AH23" s="58" t="n">
        <v>102</v>
      </c>
      <c r="AI23" s="45" t="n">
        <v>1</v>
      </c>
      <c r="AJ23" s="57" t="n">
        <v>26</v>
      </c>
      <c r="AK23" s="58" t="n">
        <v>104</v>
      </c>
      <c r="AL23" s="45" t="n"/>
      <c r="AM23" s="57" t="n">
        <v>23</v>
      </c>
      <c r="AN23" s="58" t="n">
        <v>88</v>
      </c>
      <c r="AO23" s="45" t="n">
        <v>1</v>
      </c>
      <c r="AP23" s="57" t="n">
        <v>19.5</v>
      </c>
      <c r="AQ23" s="72" t="n">
        <v>4</v>
      </c>
      <c r="AR23" s="73" t="n"/>
      <c r="AS23" s="37">
        <f>SUM(I23+L23+O23+R23+U23+X23+AA23+AD23+AG23+AJ23+AM23+AP23)</f>
        <v/>
      </c>
      <c r="AT23" s="38">
        <f>SUM(J23+M23+P23+S23+V23+Y23+AB23+AE23+AH23+AK23+AN23+AQ23)</f>
        <v/>
      </c>
      <c r="AU23" s="38">
        <f>SUM(K23+N23+Q23+T23+W23+Z23+AC23+AF23+AI23+AL23+AO23+AR23)</f>
        <v/>
      </c>
      <c r="AV23" s="56" t="inlineStr">
        <is>
          <t>OT PAINT</t>
        </is>
      </c>
    </row>
    <row r="24">
      <c r="A24" s="13" t="n">
        <v>20</v>
      </c>
      <c r="B24" s="241" t="inlineStr">
        <is>
          <t>นาย</t>
        </is>
      </c>
      <c r="C24" s="241" t="inlineStr">
        <is>
          <t>นิรุต</t>
        </is>
      </c>
      <c r="D24" s="74" t="inlineStr">
        <is>
          <t>นาคสังข์</t>
        </is>
      </c>
      <c r="E24" s="75" t="inlineStr">
        <is>
          <t>363</t>
        </is>
      </c>
      <c r="F24" s="79" t="n">
        <v>236410</v>
      </c>
      <c r="G24" s="56" t="inlineStr">
        <is>
          <t>แผนกสี</t>
        </is>
      </c>
      <c r="H24" s="256" t="n"/>
      <c r="I24" s="19" t="n">
        <v>21</v>
      </c>
      <c r="J24" s="76" t="n"/>
      <c r="K24" s="77" t="n"/>
      <c r="L24" s="81" t="n">
        <v>21.5</v>
      </c>
      <c r="M24" s="72" t="n">
        <v>40</v>
      </c>
      <c r="N24" s="73" t="n"/>
      <c r="O24" s="25" t="n">
        <v>26</v>
      </c>
      <c r="P24" s="76" t="n">
        <v>8</v>
      </c>
      <c r="Q24" s="77" t="n"/>
      <c r="R24" s="51" t="n">
        <v>21</v>
      </c>
      <c r="S24" s="52" t="n"/>
      <c r="T24" s="53" t="n"/>
      <c r="U24" s="66" t="n">
        <v>24</v>
      </c>
      <c r="V24" s="67" t="n"/>
      <c r="W24" s="68" t="n"/>
      <c r="X24" s="69" t="n">
        <v>17</v>
      </c>
      <c r="Y24" s="71" t="n"/>
      <c r="Z24" s="70" t="n"/>
      <c r="AA24" s="69" t="n">
        <v>23</v>
      </c>
      <c r="AB24" s="71" t="n"/>
      <c r="AC24" s="70" t="n"/>
      <c r="AD24" s="69" t="n">
        <v>24</v>
      </c>
      <c r="AE24" s="71" t="n">
        <v>72</v>
      </c>
      <c r="AF24" s="70" t="n"/>
      <c r="AG24" s="57" t="n">
        <v>23</v>
      </c>
      <c r="AH24" s="58" t="n">
        <v>94</v>
      </c>
      <c r="AI24" s="45" t="n">
        <v>1</v>
      </c>
      <c r="AJ24" s="57" t="n">
        <v>25</v>
      </c>
      <c r="AK24" s="58" t="n">
        <v>95</v>
      </c>
      <c r="AL24" s="45" t="n"/>
      <c r="AM24" s="57" t="n">
        <v>23</v>
      </c>
      <c r="AN24" s="58" t="n">
        <v>92</v>
      </c>
      <c r="AO24" s="45" t="n">
        <v>1</v>
      </c>
      <c r="AP24" s="57" t="n">
        <v>22</v>
      </c>
      <c r="AQ24" s="58" t="n">
        <v>8</v>
      </c>
      <c r="AR24" s="45" t="n"/>
      <c r="AS24" s="37">
        <f>SUM(I24+L24+O24+R24+U24+X24+AA24+AD24+AG24+AJ24+AM24+AP24)</f>
        <v/>
      </c>
      <c r="AT24" s="38">
        <f>SUM(J24+M24+P24+S24+V24+Y24+AB24+AE24+AH24+AK24+AN24+AQ24)</f>
        <v/>
      </c>
      <c r="AU24" s="38">
        <f>SUM(K24+N24+Q24+T24+W24+Z24+AC24+AF24+AI24+AL24+AO24+AR24)</f>
        <v/>
      </c>
      <c r="AV24" s="56" t="inlineStr">
        <is>
          <t>OT PAINT</t>
        </is>
      </c>
    </row>
    <row r="25">
      <c r="A25" s="13" t="n">
        <v>21</v>
      </c>
      <c r="B25" s="241" t="inlineStr">
        <is>
          <t>นาย</t>
        </is>
      </c>
      <c r="C25" s="241" t="inlineStr">
        <is>
          <t>บัดกรี</t>
        </is>
      </c>
      <c r="D25" s="74" t="inlineStr">
        <is>
          <t>แถวอุทุม</t>
        </is>
      </c>
      <c r="E25" s="75" t="inlineStr">
        <is>
          <t>567</t>
        </is>
      </c>
      <c r="F25" s="86" t="n">
        <v>234889</v>
      </c>
      <c r="G25" s="56" t="inlineStr">
        <is>
          <t>R&amp;D</t>
        </is>
      </c>
      <c r="H25" s="256" t="n"/>
      <c r="I25" s="19" t="n">
        <v>24</v>
      </c>
      <c r="J25" s="19" t="n">
        <v>72</v>
      </c>
      <c r="K25" s="60" t="n"/>
      <c r="L25" s="57" t="n">
        <v>24</v>
      </c>
      <c r="M25" s="58" t="n">
        <v>80</v>
      </c>
      <c r="N25" s="45" t="n"/>
      <c r="O25" s="25" t="n">
        <v>26</v>
      </c>
      <c r="P25" s="19" t="n">
        <v>44</v>
      </c>
      <c r="Q25" s="60" t="n"/>
      <c r="R25" s="51" t="n">
        <v>23</v>
      </c>
      <c r="S25" s="52" t="n"/>
      <c r="T25" s="53" t="n"/>
      <c r="U25" s="66" t="n">
        <v>24</v>
      </c>
      <c r="V25" s="67" t="n"/>
      <c r="W25" s="68" t="n"/>
      <c r="X25" s="69" t="n">
        <v>20</v>
      </c>
      <c r="Y25" s="71" t="n">
        <v>36</v>
      </c>
      <c r="Z25" s="70" t="n"/>
      <c r="AA25" s="69" t="n">
        <v>25</v>
      </c>
      <c r="AB25" s="71" t="n">
        <v>93</v>
      </c>
      <c r="AC25" s="70" t="n">
        <v>1</v>
      </c>
      <c r="AD25" s="69" t="n">
        <v>25</v>
      </c>
      <c r="AE25" s="71" t="n">
        <v>100</v>
      </c>
      <c r="AF25" s="70" t="n">
        <v>5</v>
      </c>
      <c r="AG25" s="57" t="n">
        <v>26</v>
      </c>
      <c r="AH25" s="58" t="n">
        <v>110</v>
      </c>
      <c r="AI25" s="45" t="n">
        <v>3</v>
      </c>
      <c r="AJ25" s="57" t="n">
        <v>25.5</v>
      </c>
      <c r="AK25" s="58" t="n">
        <v>99</v>
      </c>
      <c r="AL25" s="45" t="n">
        <v>3</v>
      </c>
      <c r="AM25" s="57" t="n">
        <v>24</v>
      </c>
      <c r="AN25" s="58" t="n">
        <v>96</v>
      </c>
      <c r="AO25" s="45" t="n">
        <v>1</v>
      </c>
      <c r="AP25" s="57" t="n">
        <v>25</v>
      </c>
      <c r="AQ25" s="35" t="n">
        <v>92</v>
      </c>
      <c r="AR25" s="36" t="n"/>
      <c r="AS25" s="37">
        <f>SUM(I25+L25+O25+R25+U25+X25+AA25+AD25+AG25+AJ25+AM25+AP25)</f>
        <v/>
      </c>
      <c r="AT25" s="38">
        <f>SUM(J25+M25+P25+S25+V25+Y25+AB25+AE25+AH25+AK25+AN25+AQ25)</f>
        <v/>
      </c>
      <c r="AU25" s="38">
        <f>SUM(K25+N25+Q25+T25+W25+Z25+AC25+AF25+AI25+AL25+AO25+AR25)</f>
        <v/>
      </c>
      <c r="AV25" s="18" t="inlineStr">
        <is>
          <t>OT</t>
        </is>
      </c>
    </row>
    <row r="26">
      <c r="A26" s="13" t="n">
        <v>22</v>
      </c>
      <c r="B26" s="241" t="inlineStr">
        <is>
          <t>นาย</t>
        </is>
      </c>
      <c r="C26" s="241" t="inlineStr">
        <is>
          <t>บุญเลิศ</t>
        </is>
      </c>
      <c r="D26" s="64" t="inlineStr">
        <is>
          <t>อินสุข</t>
        </is>
      </c>
      <c r="E26" s="96" t="n">
        <v>358</v>
      </c>
      <c r="F26" s="41" t="n">
        <v>239930</v>
      </c>
      <c r="G26" s="56" t="inlineStr">
        <is>
          <t>แผนกอัดหมวก</t>
        </is>
      </c>
      <c r="H26" s="256" t="n"/>
      <c r="I26" s="19" t="n">
        <v>23.5</v>
      </c>
      <c r="J26" s="19" t="n">
        <v>88</v>
      </c>
      <c r="K26" s="60" t="n"/>
      <c r="L26" s="57" t="n">
        <v>24</v>
      </c>
      <c r="M26" s="58" t="n">
        <v>84</v>
      </c>
      <c r="N26" s="45" t="n"/>
      <c r="O26" s="25" t="n">
        <v>24.5</v>
      </c>
      <c r="P26" s="76" t="n">
        <v>32</v>
      </c>
      <c r="Q26" s="77" t="n"/>
      <c r="R26" s="51" t="n">
        <v>21</v>
      </c>
      <c r="S26" s="52" t="n">
        <v>72</v>
      </c>
      <c r="T26" s="53" t="n"/>
      <c r="U26" s="66" t="n">
        <v>24</v>
      </c>
      <c r="V26" s="67" t="n">
        <v>34.5</v>
      </c>
      <c r="W26" s="68" t="n"/>
      <c r="X26" s="87" t="n">
        <v>23</v>
      </c>
      <c r="Y26" s="89" t="n">
        <v>61</v>
      </c>
      <c r="Z26" s="88" t="n"/>
      <c r="AA26" s="87" t="n">
        <v>24.5</v>
      </c>
      <c r="AB26" s="89" t="n">
        <v>86</v>
      </c>
      <c r="AC26" s="88" t="n"/>
      <c r="AD26" s="87" t="n">
        <v>24</v>
      </c>
      <c r="AE26" s="89" t="n">
        <v>109</v>
      </c>
      <c r="AF26" s="88" t="n"/>
      <c r="AG26" s="90" t="n">
        <v>25.5</v>
      </c>
      <c r="AH26" s="35" t="n">
        <v>96</v>
      </c>
      <c r="AI26" s="36" t="n">
        <v>1</v>
      </c>
      <c r="AJ26" s="90" t="n">
        <v>25</v>
      </c>
      <c r="AK26" s="35" t="n"/>
      <c r="AL26" s="36" t="n"/>
      <c r="AM26" s="90" t="n">
        <v>22.5</v>
      </c>
      <c r="AN26" s="35" t="n">
        <v>68</v>
      </c>
      <c r="AO26" s="36" t="n"/>
      <c r="AP26" s="90" t="n">
        <v>23</v>
      </c>
      <c r="AQ26" s="58" t="n">
        <v>72</v>
      </c>
      <c r="AR26" s="45" t="n"/>
      <c r="AS26" s="37">
        <f>SUM(I26+L26+O26+R26+U26+X26+AA26+AD26+AG26+AJ26+AM26+AP26)</f>
        <v/>
      </c>
      <c r="AT26" s="38">
        <f>SUM(J26+M26+P26+S26+V26+Y26+AB26+AE26+AH26+AK26+AN26+AQ26)</f>
        <v/>
      </c>
      <c r="AU26" s="38">
        <f>SUM(K26+N26+Q26+T26+W26+Z26+AC26+AF26+AI26+AL26+AO26+AR26)</f>
        <v/>
      </c>
      <c r="AV26" s="18" t="inlineStr">
        <is>
          <t>OT</t>
        </is>
      </c>
    </row>
    <row r="27">
      <c r="A27" s="13" t="n">
        <v>23</v>
      </c>
      <c r="B27" s="241" t="inlineStr">
        <is>
          <t>นาย</t>
        </is>
      </c>
      <c r="C27" s="241" t="inlineStr">
        <is>
          <t>บุญส่ง</t>
        </is>
      </c>
      <c r="D27" s="64" t="inlineStr">
        <is>
          <t>ดวงเหม</t>
        </is>
      </c>
      <c r="E27" s="97" t="n">
        <v>358</v>
      </c>
      <c r="F27" s="41" t="n">
        <v>240455</v>
      </c>
      <c r="G27" s="93" t="inlineStr">
        <is>
          <t>แผนกอัดหมวก</t>
        </is>
      </c>
      <c r="H27" s="171" t="n"/>
      <c r="I27" s="19" t="n">
        <v>21</v>
      </c>
      <c r="J27" s="19" t="n">
        <v>46</v>
      </c>
      <c r="K27" s="60" t="n"/>
      <c r="L27" s="57" t="n">
        <v>24</v>
      </c>
      <c r="M27" s="58" t="n">
        <v>80</v>
      </c>
      <c r="N27" s="45" t="n"/>
      <c r="O27" s="25" t="n">
        <v>26</v>
      </c>
      <c r="P27" s="76" t="n">
        <v>24</v>
      </c>
      <c r="Q27" s="77" t="n"/>
      <c r="R27" s="51" t="n">
        <v>21</v>
      </c>
      <c r="S27" s="52" t="n">
        <v>68</v>
      </c>
      <c r="T27" s="53" t="n"/>
      <c r="U27" s="66" t="n">
        <v>26</v>
      </c>
      <c r="V27" s="67" t="n">
        <v>22.5</v>
      </c>
      <c r="W27" s="68" t="n"/>
      <c r="X27" s="69" t="n">
        <v>24</v>
      </c>
      <c r="Y27" s="71" t="n">
        <v>53</v>
      </c>
      <c r="Z27" s="70" t="n"/>
      <c r="AA27" s="69" t="n">
        <v>26</v>
      </c>
      <c r="AB27" s="71" t="n">
        <v>80</v>
      </c>
      <c r="AC27" s="70" t="n"/>
      <c r="AD27" s="69" t="n">
        <v>25</v>
      </c>
      <c r="AE27" s="71" t="n">
        <v>68</v>
      </c>
      <c r="AF27" s="70" t="n"/>
      <c r="AG27" s="57" t="n">
        <v>26</v>
      </c>
      <c r="AH27" s="58" t="n">
        <v>98</v>
      </c>
      <c r="AI27" s="45" t="n">
        <v>1</v>
      </c>
      <c r="AJ27" s="57" t="n">
        <v>26</v>
      </c>
      <c r="AK27" s="58" t="n">
        <v>103</v>
      </c>
      <c r="AL27" s="45" t="n"/>
      <c r="AM27" s="57" t="n">
        <v>23</v>
      </c>
      <c r="AN27" s="58" t="n">
        <v>64</v>
      </c>
      <c r="AO27" s="45" t="n"/>
      <c r="AP27" s="57" t="n">
        <v>22.5</v>
      </c>
      <c r="AQ27" s="58" t="n">
        <v>64</v>
      </c>
      <c r="AR27" s="45" t="n"/>
      <c r="AS27" s="37">
        <f>SUM(I27+L27+O27+R27+U27+X27+AA27+AD27+AG27+AJ27+AM27+AP27)</f>
        <v/>
      </c>
      <c r="AT27" s="38">
        <f>SUM(J27+M27+P27+S27+V27+Y27+AB27+AE27+AH27+AK27+AN27+AQ27)</f>
        <v/>
      </c>
      <c r="AU27" s="38">
        <f>SUM(K27+N27+Q27+T27+W27+Z27+AC27+AF27+AI27+AL27+AO27+AR27)</f>
        <v/>
      </c>
      <c r="AV27" s="18" t="inlineStr">
        <is>
          <t>OT</t>
        </is>
      </c>
    </row>
    <row r="28">
      <c r="A28" s="13" t="n">
        <v>24</v>
      </c>
      <c r="B28" s="241" t="inlineStr">
        <is>
          <t>นาย</t>
        </is>
      </c>
      <c r="C28" s="241" t="inlineStr">
        <is>
          <t>ประชา</t>
        </is>
      </c>
      <c r="D28" s="64" t="inlineStr">
        <is>
          <t>วรวงษ์</t>
        </is>
      </c>
      <c r="E28" s="95" t="n">
        <v>348</v>
      </c>
      <c r="F28" s="41" t="n">
        <v>235928</v>
      </c>
      <c r="G28" s="56" t="inlineStr">
        <is>
          <t>แผนกสี</t>
        </is>
      </c>
      <c r="H28" s="171" t="n"/>
      <c r="I28" s="19" t="n">
        <v>24</v>
      </c>
      <c r="J28" s="19" t="n"/>
      <c r="K28" s="60" t="n"/>
      <c r="L28" s="57" t="n">
        <v>21</v>
      </c>
      <c r="M28" s="58" t="n"/>
      <c r="N28" s="45" t="n"/>
      <c r="O28" s="25" t="n">
        <v>24</v>
      </c>
      <c r="P28" s="19" t="n"/>
      <c r="Q28" s="60" t="n"/>
      <c r="R28" s="51" t="n">
        <v>22.5</v>
      </c>
      <c r="S28" s="52" t="n"/>
      <c r="T28" s="53" t="n"/>
      <c r="U28" s="66" t="n">
        <v>21.5</v>
      </c>
      <c r="V28" s="67" t="n"/>
      <c r="W28" s="68" t="n"/>
      <c r="X28" s="69" t="n">
        <v>23</v>
      </c>
      <c r="Y28" s="71" t="n">
        <v>5</v>
      </c>
      <c r="Z28" s="70" t="n"/>
      <c r="AA28" s="69" t="n">
        <v>24</v>
      </c>
      <c r="AB28" s="71" t="n"/>
      <c r="AC28" s="70" t="n"/>
      <c r="AD28" s="69" t="n">
        <v>24</v>
      </c>
      <c r="AE28" s="71" t="n">
        <v>36</v>
      </c>
      <c r="AF28" s="70" t="n"/>
      <c r="AG28" s="57" t="n">
        <v>25</v>
      </c>
      <c r="AH28" s="58" t="n">
        <v>76</v>
      </c>
      <c r="AI28" s="45" t="n"/>
      <c r="AJ28" s="57" t="n">
        <v>26</v>
      </c>
      <c r="AK28" s="58" t="n">
        <v>75</v>
      </c>
      <c r="AL28" s="45" t="n"/>
      <c r="AM28" s="57" t="n">
        <v>24</v>
      </c>
      <c r="AN28" s="58" t="n">
        <v>64</v>
      </c>
      <c r="AO28" s="45" t="n">
        <v>1</v>
      </c>
      <c r="AP28" s="57" t="n">
        <v>21.5</v>
      </c>
      <c r="AQ28" s="58" t="n">
        <v>8</v>
      </c>
      <c r="AR28" s="45" t="n"/>
      <c r="AS28" s="37">
        <f>SUM(I28+L28+O28+R28+U28+X28+AA28+AD28+AG28+AJ28+AM28+AP28)</f>
        <v/>
      </c>
      <c r="AT28" s="38">
        <f>SUM(J28+M28+P28+S28+V28+Y28+AB28+AE28+AH28+AK28+AN28+AQ28)</f>
        <v/>
      </c>
      <c r="AU28" s="38">
        <f>SUM(K28+N28+Q28+T28+W28+Z28+AC28+AF28+AI28+AL28+AO28+AR28)</f>
        <v/>
      </c>
      <c r="AV28" s="56" t="inlineStr">
        <is>
          <t>OT PAINT</t>
        </is>
      </c>
    </row>
    <row r="29">
      <c r="A29" s="13" t="n">
        <v>25</v>
      </c>
      <c r="B29" s="241" t="inlineStr">
        <is>
          <t>นาย</t>
        </is>
      </c>
      <c r="C29" s="241" t="inlineStr">
        <is>
          <t>พัชรวัฒน์</t>
        </is>
      </c>
      <c r="D29" s="64" t="inlineStr">
        <is>
          <t>สิทธิวิโรฒโภคิน</t>
        </is>
      </c>
      <c r="E29" s="95" t="n">
        <v>633</v>
      </c>
      <c r="F29" s="41" t="n">
        <v>234792</v>
      </c>
      <c r="G29" s="85" t="inlineStr">
        <is>
          <t>หัวหน้าแผนกอัดหมวก</t>
        </is>
      </c>
      <c r="H29" s="256" t="n"/>
      <c r="I29" s="19" t="n">
        <v>25</v>
      </c>
      <c r="J29" s="19" t="n">
        <v>77</v>
      </c>
      <c r="K29" s="60" t="n"/>
      <c r="L29" s="57" t="n">
        <v>24</v>
      </c>
      <c r="M29" s="58" t="n">
        <v>40</v>
      </c>
      <c r="N29" s="45" t="n"/>
      <c r="O29" s="25" t="n">
        <v>25</v>
      </c>
      <c r="P29" s="76" t="n">
        <v>8</v>
      </c>
      <c r="Q29" s="77" t="n"/>
      <c r="R29" s="51" t="n">
        <v>22</v>
      </c>
      <c r="S29" s="52" t="n"/>
      <c r="T29" s="53" t="n"/>
      <c r="U29" s="66" t="n">
        <v>25</v>
      </c>
      <c r="V29" s="67" t="n">
        <v>4</v>
      </c>
      <c r="W29" s="68" t="n"/>
      <c r="X29" s="87" t="n">
        <v>23</v>
      </c>
      <c r="Y29" s="89" t="n">
        <v>105</v>
      </c>
      <c r="Z29" s="88" t="n"/>
      <c r="AA29" s="87" t="n">
        <v>25</v>
      </c>
      <c r="AB29" s="89" t="n">
        <v>128</v>
      </c>
      <c r="AC29" s="88" t="n"/>
      <c r="AD29" s="87" t="n">
        <v>25</v>
      </c>
      <c r="AE29" s="89" t="n">
        <v>129</v>
      </c>
      <c r="AF29" s="88" t="n">
        <v>1</v>
      </c>
      <c r="AG29" s="90" t="n">
        <v>26</v>
      </c>
      <c r="AH29" s="35" t="n">
        <v>166</v>
      </c>
      <c r="AI29" s="36" t="n">
        <v>2</v>
      </c>
      <c r="AJ29" s="90" t="n">
        <v>26</v>
      </c>
      <c r="AK29" s="35" t="n">
        <v>159</v>
      </c>
      <c r="AL29" s="36" t="n">
        <v>3</v>
      </c>
      <c r="AM29" s="90" t="n">
        <v>24</v>
      </c>
      <c r="AN29" s="35" t="n">
        <v>107</v>
      </c>
      <c r="AO29" s="36" t="n">
        <v>2</v>
      </c>
      <c r="AP29" s="90" t="n">
        <v>15</v>
      </c>
      <c r="AQ29" s="35" t="n">
        <v>15</v>
      </c>
      <c r="AR29" s="36" t="n"/>
      <c r="AS29" s="37">
        <f>SUM(I29+L29+O29+R29+U29+X29+AA29+AD29+AG29+AJ29+AM29+AP29)</f>
        <v/>
      </c>
      <c r="AT29" s="38">
        <f>SUM(J29+M29+P29+S29+V29+Y29+AB29+AE29+AH29+AK29+AN29+AQ29)</f>
        <v/>
      </c>
      <c r="AU29" s="38">
        <f>SUM(K29+N29+Q29+T29+W29+Z29+AC29+AF29+AI29+AL29+AO29+AR29)</f>
        <v/>
      </c>
      <c r="AV29" s="18" t="inlineStr">
        <is>
          <t>OT</t>
        </is>
      </c>
    </row>
    <row r="30">
      <c r="A30" s="13" t="n">
        <v>26</v>
      </c>
      <c r="B30" s="241" t="inlineStr">
        <is>
          <t>นาย</t>
        </is>
      </c>
      <c r="C30" s="241" t="inlineStr">
        <is>
          <t>ไพฑูรย์</t>
        </is>
      </c>
      <c r="D30" s="64" t="inlineStr">
        <is>
          <t>ป้องเรือ</t>
        </is>
      </c>
      <c r="E30" s="80" t="inlineStr">
        <is>
          <t>447</t>
        </is>
      </c>
      <c r="F30" s="41" t="n">
        <v>235765</v>
      </c>
      <c r="G30" s="56" t="inlineStr">
        <is>
          <t>หัวหน้าแผนกตัดผ้า</t>
        </is>
      </c>
      <c r="H30" s="256" t="n"/>
      <c r="I30" s="19" t="n">
        <v>23</v>
      </c>
      <c r="J30" s="76" t="n"/>
      <c r="K30" s="77" t="n"/>
      <c r="L30" s="81" t="n">
        <v>21</v>
      </c>
      <c r="M30" s="72" t="n">
        <v>28</v>
      </c>
      <c r="N30" s="73" t="n"/>
      <c r="O30" s="25" t="n">
        <v>22</v>
      </c>
      <c r="P30" s="76" t="n"/>
      <c r="Q30" s="77" t="n"/>
      <c r="R30" s="51" t="n">
        <v>23</v>
      </c>
      <c r="S30" s="52" t="n">
        <v>4</v>
      </c>
      <c r="T30" s="53" t="n"/>
      <c r="U30" s="66" t="n">
        <v>25</v>
      </c>
      <c r="V30" s="67" t="n">
        <v>48</v>
      </c>
      <c r="W30" s="68" t="n"/>
      <c r="X30" s="54" t="n">
        <v>21</v>
      </c>
      <c r="Y30" s="55" t="n">
        <v>40</v>
      </c>
      <c r="Z30" s="56" t="n"/>
      <c r="AA30" s="54" t="n">
        <v>25</v>
      </c>
      <c r="AB30" s="55" t="n">
        <v>68</v>
      </c>
      <c r="AC30" s="56" t="n"/>
      <c r="AD30" s="54" t="n">
        <v>24</v>
      </c>
      <c r="AE30" s="55" t="n">
        <v>84</v>
      </c>
      <c r="AF30" s="56" t="n"/>
      <c r="AG30" s="57" t="n">
        <v>26</v>
      </c>
      <c r="AH30" s="58" t="n">
        <v>94</v>
      </c>
      <c r="AI30" s="45" t="n">
        <v>1</v>
      </c>
      <c r="AJ30" s="57" t="n">
        <v>23.5</v>
      </c>
      <c r="AK30" s="58" t="n">
        <v>67</v>
      </c>
      <c r="AL30" s="45" t="n"/>
      <c r="AM30" s="57" t="n">
        <v>23</v>
      </c>
      <c r="AN30" s="58" t="n">
        <v>84</v>
      </c>
      <c r="AO30" s="45" t="n">
        <v>1</v>
      </c>
      <c r="AP30" s="57" t="n">
        <v>24</v>
      </c>
      <c r="AQ30" s="58" t="n">
        <v>72</v>
      </c>
      <c r="AR30" s="45" t="n"/>
      <c r="AS30" s="37">
        <f>SUM(I30+L30+O30+R30+U30+X30+AA30+AD30+AG30+AJ30+AM30+AP30)</f>
        <v/>
      </c>
      <c r="AT30" s="38">
        <f>SUM(J30+M30+P30+S30+V30+Y30+AB30+AE30+AH30+AK30+AN30+AQ30)</f>
        <v/>
      </c>
      <c r="AU30" s="38">
        <f>SUM(K30+N30+Q30+T30+W30+Z30+AC30+AF30+AI30+AL30+AO30+AR30)</f>
        <v/>
      </c>
      <c r="AV30" s="18" t="inlineStr">
        <is>
          <t>OT</t>
        </is>
      </c>
    </row>
    <row r="31">
      <c r="A31" s="13" t="n">
        <v>27</v>
      </c>
      <c r="B31" s="241" t="inlineStr">
        <is>
          <t>นาย</t>
        </is>
      </c>
      <c r="C31" s="241" t="inlineStr">
        <is>
          <t>มนิต</t>
        </is>
      </c>
      <c r="D31" s="64" t="inlineStr">
        <is>
          <t>เปี่ยมศิลป์</t>
        </is>
      </c>
      <c r="E31" s="75" t="inlineStr">
        <is>
          <t>348</t>
        </is>
      </c>
      <c r="F31" s="41" t="n">
        <v>238512</v>
      </c>
      <c r="G31" s="56" t="inlineStr">
        <is>
          <t>ทั่วไป</t>
        </is>
      </c>
      <c r="H31" s="171" t="n"/>
      <c r="I31" s="19" t="n">
        <v>24.5</v>
      </c>
      <c r="J31" s="19" t="n"/>
      <c r="K31" s="60" t="n"/>
      <c r="L31" s="57" t="n">
        <v>14</v>
      </c>
      <c r="M31" s="58" t="n"/>
      <c r="N31" s="45" t="n"/>
      <c r="O31" s="25" t="n">
        <v>24</v>
      </c>
      <c r="P31" s="76" t="n"/>
      <c r="Q31" s="77" t="n"/>
      <c r="R31" s="51" t="n">
        <v>23</v>
      </c>
      <c r="S31" s="52" t="n"/>
      <c r="T31" s="53" t="n"/>
      <c r="U31" s="66" t="n">
        <v>26</v>
      </c>
      <c r="V31" s="67" t="n"/>
      <c r="W31" s="68" t="n"/>
      <c r="X31" s="69" t="n">
        <v>23</v>
      </c>
      <c r="Y31" s="71" t="n"/>
      <c r="Z31" s="70" t="n"/>
      <c r="AA31" s="69" t="n">
        <v>26</v>
      </c>
      <c r="AB31" s="71" t="n">
        <v>12</v>
      </c>
      <c r="AC31" s="70" t="n"/>
      <c r="AD31" s="69" t="n">
        <v>22</v>
      </c>
      <c r="AE31" s="71" t="n"/>
      <c r="AF31" s="70" t="n"/>
      <c r="AG31" s="57" t="n">
        <v>24.5</v>
      </c>
      <c r="AH31" s="58" t="n"/>
      <c r="AI31" s="45" t="n"/>
      <c r="AJ31" s="57" t="n">
        <v>26</v>
      </c>
      <c r="AK31" s="58" t="n"/>
      <c r="AL31" s="45" t="n"/>
      <c r="AM31" s="57" t="n">
        <v>18</v>
      </c>
      <c r="AN31" s="58" t="n"/>
      <c r="AO31" s="45" t="n"/>
      <c r="AP31" s="57" t="n">
        <v>24</v>
      </c>
      <c r="AQ31" s="72" t="n"/>
      <c r="AR31" s="73" t="n"/>
      <c r="AS31" s="37">
        <f>SUM(I31+L31+O31+R31+U31+X31+AA31+AD31+AG31+AJ31+AM31+AP31)</f>
        <v/>
      </c>
      <c r="AT31" s="38">
        <f>SUM(J31+M31+P31+S31+V31+Y31+AB31+AE31+AH31+AK31+AN31+AQ31)</f>
        <v/>
      </c>
      <c r="AU31" s="38">
        <f>SUM(K31+N31+Q31+T31+W31+Z31+AC31+AF31+AI31+AL31+AO31+AR31)</f>
        <v/>
      </c>
      <c r="AV31" s="18" t="inlineStr">
        <is>
          <t>OT</t>
        </is>
      </c>
    </row>
    <row r="32">
      <c r="A32" s="13" t="n">
        <v>28</v>
      </c>
      <c r="B32" s="241" t="inlineStr">
        <is>
          <t>นาย</t>
        </is>
      </c>
      <c r="C32" s="241" t="inlineStr">
        <is>
          <t>วิทูรย์</t>
        </is>
      </c>
      <c r="D32" s="64" t="inlineStr">
        <is>
          <t>ทองชื่น</t>
        </is>
      </c>
      <c r="E32" s="80" t="inlineStr">
        <is>
          <t>380</t>
        </is>
      </c>
      <c r="F32" s="41" t="n">
        <v>234209</v>
      </c>
      <c r="G32" s="56" t="inlineStr">
        <is>
          <t>แผนกตัด+ขับรถ</t>
        </is>
      </c>
      <c r="H32" s="171" t="n"/>
      <c r="I32" s="19" t="n">
        <v>25</v>
      </c>
      <c r="J32" s="19" t="n">
        <v>94</v>
      </c>
      <c r="K32" s="60" t="n"/>
      <c r="L32" s="57" t="n">
        <v>22</v>
      </c>
      <c r="M32" s="58" t="n">
        <v>79</v>
      </c>
      <c r="N32" s="45" t="n"/>
      <c r="O32" s="25" t="n">
        <v>25</v>
      </c>
      <c r="P32" s="76" t="n">
        <v>92</v>
      </c>
      <c r="Q32" s="77" t="n"/>
      <c r="R32" s="51" t="n">
        <v>22</v>
      </c>
      <c r="S32" s="52" t="n">
        <v>57</v>
      </c>
      <c r="T32" s="53" t="n"/>
      <c r="U32" s="66" t="n">
        <v>22</v>
      </c>
      <c r="V32" s="67" t="n">
        <v>67</v>
      </c>
      <c r="W32" s="68" t="n"/>
      <c r="X32" s="87" t="n">
        <v>24</v>
      </c>
      <c r="Y32" s="89" t="n">
        <v>96</v>
      </c>
      <c r="Z32" s="88" t="n"/>
      <c r="AA32" s="82" t="n">
        <v>26</v>
      </c>
      <c r="AB32" s="84" t="n">
        <v>102</v>
      </c>
      <c r="AC32" s="88" t="n"/>
      <c r="AD32" s="87" t="n">
        <v>25</v>
      </c>
      <c r="AE32" s="89" t="n">
        <v>100.5</v>
      </c>
      <c r="AF32" s="88" t="n">
        <v>1</v>
      </c>
      <c r="AG32" s="90" t="n">
        <v>22</v>
      </c>
      <c r="AH32" s="35" t="n">
        <v>90</v>
      </c>
      <c r="AI32" s="36" t="n">
        <v>2</v>
      </c>
      <c r="AJ32" s="90" t="n">
        <v>26</v>
      </c>
      <c r="AK32" s="35" t="n">
        <v>96</v>
      </c>
      <c r="AL32" s="36" t="n">
        <v>3</v>
      </c>
      <c r="AM32" s="90" t="n">
        <v>24</v>
      </c>
      <c r="AN32" s="35" t="n">
        <v>88</v>
      </c>
      <c r="AO32" s="36" t="n">
        <v>1</v>
      </c>
      <c r="AP32" s="90" t="n">
        <v>23</v>
      </c>
      <c r="AQ32" s="58" t="n">
        <v>97.5</v>
      </c>
      <c r="AR32" s="45" t="n">
        <v>1</v>
      </c>
      <c r="AS32" s="37">
        <f>SUM(I32+L32+O32+R32+U32+X32+AA32+AD32+AG32+AJ32+AM32+AP32)</f>
        <v/>
      </c>
      <c r="AT32" s="38">
        <f>SUM(J32+M32+P32+S32+V32+Y32+AB32+AE32+AH32+AK32+AN32+AQ32)</f>
        <v/>
      </c>
      <c r="AU32" s="38">
        <f>SUM(K32+N32+Q32+T32+W32+Z32+AC32+AF32+AI32+AL32+AO32+AR32)</f>
        <v/>
      </c>
      <c r="AV32" s="18" t="inlineStr">
        <is>
          <t>OT</t>
        </is>
      </c>
    </row>
    <row r="33">
      <c r="A33" s="13" t="n">
        <v>29</v>
      </c>
      <c r="B33" s="241" t="inlineStr">
        <is>
          <t>นาย</t>
        </is>
      </c>
      <c r="C33" s="241" t="inlineStr">
        <is>
          <t>เวียง</t>
        </is>
      </c>
      <c r="D33" s="64" t="inlineStr">
        <is>
          <t>น้ำทิพย์</t>
        </is>
      </c>
      <c r="E33" s="75" t="inlineStr">
        <is>
          <t>363</t>
        </is>
      </c>
      <c r="F33" s="41" t="n">
        <v>235737</v>
      </c>
      <c r="G33" s="18" t="inlineStr">
        <is>
          <t>แผนกอัดหมวก</t>
        </is>
      </c>
      <c r="H33" s="171" t="n"/>
      <c r="I33" s="19" t="n">
        <v>23</v>
      </c>
      <c r="J33" s="19" t="n"/>
      <c r="K33" s="60" t="n"/>
      <c r="L33" s="57" t="n">
        <v>24</v>
      </c>
      <c r="M33" s="58" t="n">
        <v>52</v>
      </c>
      <c r="N33" s="45" t="n"/>
      <c r="O33" s="25" t="n">
        <v>26</v>
      </c>
      <c r="P33" s="76" t="n">
        <v>12</v>
      </c>
      <c r="Q33" s="77" t="n"/>
      <c r="R33" s="51" t="n">
        <v>18.5</v>
      </c>
      <c r="S33" s="52" t="n"/>
      <c r="T33" s="53" t="n"/>
      <c r="U33" s="66" t="n">
        <v>25</v>
      </c>
      <c r="V33" s="67" t="n">
        <v>36</v>
      </c>
      <c r="W33" s="68" t="n"/>
      <c r="X33" s="69" t="n">
        <v>23.5</v>
      </c>
      <c r="Y33" s="71" t="n">
        <v>72</v>
      </c>
      <c r="Z33" s="70" t="n"/>
      <c r="AA33" s="87" t="n">
        <v>25</v>
      </c>
      <c r="AB33" s="89" t="n">
        <v>92</v>
      </c>
      <c r="AC33" s="70" t="n"/>
      <c r="AD33" s="69" t="n">
        <v>25</v>
      </c>
      <c r="AE33" s="71" t="n">
        <v>88</v>
      </c>
      <c r="AF33" s="70" t="n"/>
      <c r="AG33" s="57" t="n">
        <v>24.5</v>
      </c>
      <c r="AH33" s="58" t="n">
        <v>80</v>
      </c>
      <c r="AI33" s="45" t="n">
        <v>2</v>
      </c>
      <c r="AJ33" s="57" t="n">
        <v>26</v>
      </c>
      <c r="AK33" s="58" t="n">
        <v>103</v>
      </c>
      <c r="AL33" s="45" t="n"/>
      <c r="AM33" s="57" t="n">
        <v>22</v>
      </c>
      <c r="AN33" s="58" t="n">
        <v>84</v>
      </c>
      <c r="AO33" s="45" t="n">
        <v>1</v>
      </c>
      <c r="AP33" s="57" t="n">
        <v>20</v>
      </c>
      <c r="AQ33" s="35" t="n">
        <v>40</v>
      </c>
      <c r="AR33" s="36" t="n"/>
      <c r="AS33" s="37">
        <f>SUM(I33+L33+O33+R33+U33+X33+AA33+AD33+AG33+AJ33+AM33+AP33)</f>
        <v/>
      </c>
      <c r="AT33" s="38">
        <f>SUM(J33+M33+P33+S33+V33+Y33+AB33+AE33+AH33+AK33+AN33+AQ33)</f>
        <v/>
      </c>
      <c r="AU33" s="38">
        <f>SUM(K33+N33+Q33+T33+W33+Z33+AC33+AF33+AI33+AL33+AO33+AR33)</f>
        <v/>
      </c>
      <c r="AV33" s="18" t="inlineStr">
        <is>
          <t>OT</t>
        </is>
      </c>
    </row>
    <row r="34">
      <c r="A34" s="13" t="n">
        <v>30</v>
      </c>
      <c r="B34" s="241" t="inlineStr">
        <is>
          <t>นาย</t>
        </is>
      </c>
      <c r="C34" s="241" t="inlineStr">
        <is>
          <t>สมพงษ์</t>
        </is>
      </c>
      <c r="D34" s="64" t="inlineStr">
        <is>
          <t>พึ่งแย้ม</t>
        </is>
      </c>
      <c r="E34" s="75" t="inlineStr">
        <is>
          <t>483</t>
        </is>
      </c>
      <c r="F34" s="41" t="n">
        <v>234830</v>
      </c>
      <c r="G34" s="18" t="inlineStr">
        <is>
          <t>หัวหน้าแผนกสี</t>
        </is>
      </c>
      <c r="H34" s="256" t="n"/>
      <c r="I34" s="19" t="n">
        <v>24</v>
      </c>
      <c r="J34" s="19" t="n">
        <v>2</v>
      </c>
      <c r="K34" s="60" t="n"/>
      <c r="L34" s="57" t="n">
        <v>22</v>
      </c>
      <c r="M34" s="58" t="n">
        <v>35</v>
      </c>
      <c r="N34" s="45" t="n"/>
      <c r="O34" s="25" t="n">
        <v>20.5</v>
      </c>
      <c r="P34" s="76" t="n">
        <v>3</v>
      </c>
      <c r="Q34" s="77" t="n"/>
      <c r="R34" s="51" t="n">
        <v>25</v>
      </c>
      <c r="S34" s="52" t="n">
        <v>3</v>
      </c>
      <c r="T34" s="53" t="n"/>
      <c r="U34" s="66" t="n">
        <v>23</v>
      </c>
      <c r="V34" s="67" t="n">
        <v>5</v>
      </c>
      <c r="W34" s="68" t="n"/>
      <c r="X34" s="69" t="n">
        <v>15</v>
      </c>
      <c r="Y34" s="71" t="n">
        <v>1</v>
      </c>
      <c r="Z34" s="70" t="n"/>
      <c r="AA34" s="69" t="n">
        <v>21.5</v>
      </c>
      <c r="AB34" s="71" t="n">
        <v>12</v>
      </c>
      <c r="AC34" s="70" t="n"/>
      <c r="AD34" s="69" t="n">
        <v>25</v>
      </c>
      <c r="AE34" s="71" t="n">
        <v>76</v>
      </c>
      <c r="AF34" s="70" t="n"/>
      <c r="AG34" s="57" t="n">
        <v>22</v>
      </c>
      <c r="AH34" s="58" t="n">
        <v>86</v>
      </c>
      <c r="AI34" s="45" t="n">
        <v>1</v>
      </c>
      <c r="AJ34" s="57" t="n">
        <v>25</v>
      </c>
      <c r="AK34" s="58" t="n">
        <v>91</v>
      </c>
      <c r="AL34" s="45" t="n"/>
      <c r="AM34" s="57" t="n">
        <v>25</v>
      </c>
      <c r="AN34" s="58" t="n">
        <v>88</v>
      </c>
      <c r="AO34" s="45" t="n">
        <v>1</v>
      </c>
      <c r="AP34" s="57" t="n">
        <v>21.5</v>
      </c>
      <c r="AQ34" s="72" t="n">
        <v>32</v>
      </c>
      <c r="AR34" s="73" t="n"/>
      <c r="AS34" s="37">
        <f>SUM(I34+L34+O34+R34+U34+X34+AA34+AD34+AG34+AJ34+AM34+AP34)</f>
        <v/>
      </c>
      <c r="AT34" s="38">
        <f>SUM(J34+M34+P34+S34+V34+Y34+AB34+AE34+AH34+AK34+AN34+AQ34)</f>
        <v/>
      </c>
      <c r="AU34" s="38">
        <f>SUM(K34+N34+Q34+T34+W34+Z34+AC34+AF34+AI34+AL34+AO34+AR34)</f>
        <v/>
      </c>
      <c r="AV34" s="56" t="inlineStr">
        <is>
          <t>OT PAINT</t>
        </is>
      </c>
    </row>
    <row r="35">
      <c r="A35" s="13" t="n">
        <v>31</v>
      </c>
      <c r="B35" s="241" t="inlineStr">
        <is>
          <t>นาย</t>
        </is>
      </c>
      <c r="C35" s="241" t="inlineStr">
        <is>
          <t>สมพงษ์</t>
        </is>
      </c>
      <c r="D35" s="64" t="inlineStr">
        <is>
          <t>สิงห์พันธ์ม่วง</t>
        </is>
      </c>
      <c r="E35" s="97" t="n">
        <v>348</v>
      </c>
      <c r="F35" s="79" t="n">
        <v>235802</v>
      </c>
      <c r="G35" s="56" t="inlineStr">
        <is>
          <t>แผนกตัดผ้า</t>
        </is>
      </c>
      <c r="H35" s="256" t="n"/>
      <c r="I35" s="19" t="n">
        <v>23</v>
      </c>
      <c r="J35" s="19" t="n"/>
      <c r="K35" s="60" t="n"/>
      <c r="L35" s="57" t="n">
        <v>21.5</v>
      </c>
      <c r="M35" s="58" t="n">
        <v>52</v>
      </c>
      <c r="N35" s="45" t="n"/>
      <c r="O35" s="25" t="n">
        <v>20</v>
      </c>
      <c r="P35" s="19" t="n">
        <v>8</v>
      </c>
      <c r="Q35" s="60" t="n"/>
      <c r="R35" s="51" t="n">
        <v>18</v>
      </c>
      <c r="S35" s="52" t="n">
        <v>12</v>
      </c>
      <c r="T35" s="53" t="n"/>
      <c r="U35" s="66" t="n">
        <v>18</v>
      </c>
      <c r="V35" s="67" t="n">
        <v>40</v>
      </c>
      <c r="W35" s="68" t="n"/>
      <c r="X35" s="87" t="n">
        <v>12</v>
      </c>
      <c r="Y35" s="89" t="n">
        <v>16</v>
      </c>
      <c r="Z35" s="88" t="n"/>
      <c r="AA35" s="69" t="n">
        <v>21</v>
      </c>
      <c r="AB35" s="71" t="n">
        <v>60</v>
      </c>
      <c r="AC35" s="88" t="n"/>
      <c r="AD35" s="87" t="n">
        <v>20.5</v>
      </c>
      <c r="AE35" s="89" t="n">
        <v>48</v>
      </c>
      <c r="AF35" s="88" t="n"/>
      <c r="AG35" s="90" t="n">
        <v>25</v>
      </c>
      <c r="AH35" s="35" t="n">
        <v>82</v>
      </c>
      <c r="AI35" s="36" t="n">
        <v>1</v>
      </c>
      <c r="AJ35" s="90" t="n">
        <v>22.5</v>
      </c>
      <c r="AK35" s="35" t="n">
        <v>59</v>
      </c>
      <c r="AL35" s="36" t="n"/>
      <c r="AM35" s="90" t="n">
        <v>21</v>
      </c>
      <c r="AN35" s="35" t="n">
        <v>40</v>
      </c>
      <c r="AO35" s="36" t="n"/>
      <c r="AP35" s="90" t="n">
        <v>21</v>
      </c>
      <c r="AQ35" s="98" t="n">
        <v>32</v>
      </c>
      <c r="AR35" s="45" t="n"/>
      <c r="AS35" s="37">
        <f>SUM(I35+L35+O35+R35+U35+X35+AA35+AD35+AG35+AJ35+AM35+AP35)</f>
        <v/>
      </c>
      <c r="AT35" s="38">
        <f>SUM(J35+M35+P35+S35+V35+Y35+AB35+AE35+AH35+AK35+AN35+AQ35)</f>
        <v/>
      </c>
      <c r="AU35" s="38">
        <f>SUM(K35+N35+Q35+T35+W35+Z35+AC35+AF35+AI35+AL35+AO35+AR35)</f>
        <v/>
      </c>
      <c r="AV35" s="18" t="inlineStr">
        <is>
          <t>OT</t>
        </is>
      </c>
    </row>
    <row r="36">
      <c r="A36" s="13" t="n">
        <v>32</v>
      </c>
      <c r="B36" s="241" t="inlineStr">
        <is>
          <t>นาย</t>
        </is>
      </c>
      <c r="C36" s="241" t="inlineStr">
        <is>
          <t>สังวาลย์</t>
        </is>
      </c>
      <c r="D36" s="15" t="inlineStr">
        <is>
          <t>เพ็งผล</t>
        </is>
      </c>
      <c r="E36" s="95" t="n">
        <v>348</v>
      </c>
      <c r="F36" s="41" t="n">
        <v>238420</v>
      </c>
      <c r="G36" s="56" t="inlineStr">
        <is>
          <t>แผนกอัดหมวก</t>
        </is>
      </c>
      <c r="H36" s="256" t="n"/>
      <c r="I36" s="19" t="n">
        <v>20</v>
      </c>
      <c r="J36" s="19" t="n"/>
      <c r="K36" s="60" t="n"/>
      <c r="L36" s="57" t="n">
        <v>22</v>
      </c>
      <c r="M36" s="58" t="n">
        <v>2</v>
      </c>
      <c r="N36" s="45" t="n"/>
      <c r="O36" s="25" t="n">
        <v>23</v>
      </c>
      <c r="P36" s="76" t="n">
        <v>4</v>
      </c>
      <c r="Q36" s="77" t="n"/>
      <c r="R36" s="51" t="n">
        <v>21.5</v>
      </c>
      <c r="S36" s="52" t="n">
        <v>3</v>
      </c>
      <c r="T36" s="53" t="n"/>
      <c r="U36" s="66" t="n">
        <v>22.5</v>
      </c>
      <c r="V36" s="67" t="n">
        <v>5</v>
      </c>
      <c r="W36" s="68" t="n"/>
      <c r="X36" s="69" t="n">
        <v>23</v>
      </c>
      <c r="Y36" s="71" t="n">
        <v>98</v>
      </c>
      <c r="Z36" s="70" t="n"/>
      <c r="AA36" s="87" t="n">
        <v>23</v>
      </c>
      <c r="AB36" s="89" t="n">
        <v>91</v>
      </c>
      <c r="AC36" s="70" t="n"/>
      <c r="AD36" s="69" t="n">
        <v>23</v>
      </c>
      <c r="AE36" s="71" t="n">
        <v>99</v>
      </c>
      <c r="AF36" s="70" t="n"/>
      <c r="AG36" s="57" t="n">
        <v>25</v>
      </c>
      <c r="AH36" s="58" t="n">
        <v>175</v>
      </c>
      <c r="AI36" s="45" t="n"/>
      <c r="AJ36" s="57" t="n">
        <v>25</v>
      </c>
      <c r="AK36" s="58" t="n">
        <v>190</v>
      </c>
      <c r="AL36" s="45" t="n"/>
      <c r="AM36" s="57" t="n">
        <v>23</v>
      </c>
      <c r="AN36" s="58" t="n">
        <v>46</v>
      </c>
      <c r="AO36" s="45" t="n"/>
      <c r="AP36" s="57" t="n">
        <v>12</v>
      </c>
      <c r="AQ36" s="72" t="n">
        <v>1</v>
      </c>
      <c r="AR36" s="73" t="n"/>
      <c r="AS36" s="37">
        <f>SUM(I36+L36+O36+R36+U36+X36+AA36+AD36+AG36+AJ36+AM36+AP36)</f>
        <v/>
      </c>
      <c r="AT36" s="38">
        <f>SUM(J36+M36+P36+S36+V36+Y36+AB36+AE36+AH36+AK36+AN36+AQ36)</f>
        <v/>
      </c>
      <c r="AU36" s="38">
        <f>SUM(K36+N36+Q36+T36+W36+Z36+AC36+AF36+AI36+AL36+AO36+AR36)</f>
        <v/>
      </c>
      <c r="AV36" s="18" t="inlineStr">
        <is>
          <t>OT</t>
        </is>
      </c>
    </row>
    <row r="37">
      <c r="A37" s="13" t="n">
        <v>33</v>
      </c>
      <c r="B37" s="241" t="inlineStr">
        <is>
          <t>นาย</t>
        </is>
      </c>
      <c r="C37" s="241" t="inlineStr">
        <is>
          <t>สาธิต</t>
        </is>
      </c>
      <c r="D37" s="64" t="inlineStr">
        <is>
          <t>คล้ายสอน</t>
        </is>
      </c>
      <c r="E37" s="75" t="inlineStr">
        <is>
          <t>439</t>
        </is>
      </c>
      <c r="F37" s="41" t="n">
        <v>236534</v>
      </c>
      <c r="G37" s="56" t="inlineStr">
        <is>
          <t>หัวหน้าแผนกตัดผ้า</t>
        </is>
      </c>
      <c r="H37" s="256" t="n"/>
      <c r="I37" s="19" t="n">
        <v>25</v>
      </c>
      <c r="J37" s="19" t="n"/>
      <c r="K37" s="60" t="n"/>
      <c r="L37" s="57" t="n">
        <v>24</v>
      </c>
      <c r="M37" s="58" t="n">
        <v>16</v>
      </c>
      <c r="N37" s="45" t="n"/>
      <c r="O37" s="25" t="n">
        <v>25.5</v>
      </c>
      <c r="P37" s="76" t="n"/>
      <c r="Q37" s="77" t="n"/>
      <c r="R37" s="51" t="n">
        <v>19.5</v>
      </c>
      <c r="S37" s="52" t="n">
        <v>8</v>
      </c>
      <c r="T37" s="53" t="n"/>
      <c r="U37" s="66" t="n">
        <v>22</v>
      </c>
      <c r="V37" s="67" t="n"/>
      <c r="W37" s="68" t="n"/>
      <c r="X37" s="69" t="n">
        <v>21</v>
      </c>
      <c r="Y37" s="71" t="n">
        <v>16</v>
      </c>
      <c r="Z37" s="70" t="n"/>
      <c r="AA37" s="69" t="n">
        <v>25</v>
      </c>
      <c r="AB37" s="71" t="n">
        <v>84</v>
      </c>
      <c r="AC37" s="70" t="n"/>
      <c r="AD37" s="69" t="n">
        <v>25</v>
      </c>
      <c r="AE37" s="71" t="n">
        <v>48</v>
      </c>
      <c r="AF37" s="70" t="n"/>
      <c r="AG37" s="57" t="n">
        <v>26</v>
      </c>
      <c r="AH37" s="58" t="n">
        <v>34</v>
      </c>
      <c r="AI37" s="45" t="n"/>
      <c r="AJ37" s="57" t="n">
        <v>25</v>
      </c>
      <c r="AK37" s="58" t="n">
        <v>31</v>
      </c>
      <c r="AL37" s="45" t="n"/>
      <c r="AM37" s="57" t="n">
        <v>19</v>
      </c>
      <c r="AN37" s="58" t="n"/>
      <c r="AO37" s="45" t="n"/>
      <c r="AP37" s="57" t="n">
        <v>24.5</v>
      </c>
      <c r="AQ37" s="35" t="n"/>
      <c r="AR37" s="36" t="n"/>
      <c r="AS37" s="37">
        <f>SUM(I37+L37+O37+R37+U37+X37+AA37+AD37+AG37+AJ37+AM37+AP37)</f>
        <v/>
      </c>
      <c r="AT37" s="38">
        <f>SUM(J37+M37+P37+S37+V37+Y37+AB37+AE37+AH37+AK37+AN37+AQ37)</f>
        <v/>
      </c>
      <c r="AU37" s="38">
        <f>SUM(K37+N37+Q37+T37+W37+Z37+AC37+AF37+AI37+AL37+AO37+AR37)</f>
        <v/>
      </c>
      <c r="AV37" s="18" t="inlineStr">
        <is>
          <t>OT</t>
        </is>
      </c>
    </row>
    <row r="38">
      <c r="A38" s="13" t="n">
        <v>34</v>
      </c>
      <c r="B38" s="241" t="inlineStr">
        <is>
          <t>นาย</t>
        </is>
      </c>
      <c r="C38" s="241" t="inlineStr">
        <is>
          <t>สำเนา</t>
        </is>
      </c>
      <c r="D38" s="64" t="inlineStr">
        <is>
          <t>เอี่ยมสะอาด</t>
        </is>
      </c>
      <c r="E38" s="75" t="inlineStr">
        <is>
          <t>362</t>
        </is>
      </c>
      <c r="F38" s="86" t="n">
        <v>240422</v>
      </c>
      <c r="G38" s="18" t="inlineStr">
        <is>
          <t>แผนกสี</t>
        </is>
      </c>
      <c r="H38" s="171" t="n"/>
      <c r="I38" s="19" t="n">
        <v>23</v>
      </c>
      <c r="J38" s="19" t="n">
        <v>2</v>
      </c>
      <c r="K38" s="60" t="n"/>
      <c r="L38" s="57" t="n">
        <v>23</v>
      </c>
      <c r="M38" s="58" t="n">
        <v>35</v>
      </c>
      <c r="N38" s="45" t="n"/>
      <c r="O38" s="25" t="n">
        <v>23.5</v>
      </c>
      <c r="P38" s="19" t="n">
        <v>8</v>
      </c>
      <c r="Q38" s="60" t="n"/>
      <c r="R38" s="51" t="n">
        <v>22.5</v>
      </c>
      <c r="S38" s="52" t="n">
        <v>3</v>
      </c>
      <c r="T38" s="53" t="n"/>
      <c r="U38" s="66" t="n">
        <v>26</v>
      </c>
      <c r="V38" s="67" t="n">
        <v>5</v>
      </c>
      <c r="W38" s="68" t="n"/>
      <c r="X38" s="95" t="n">
        <v>23</v>
      </c>
      <c r="Y38" s="71" t="n">
        <v>7</v>
      </c>
      <c r="Z38" s="70" t="n"/>
      <c r="AA38" s="69" t="n">
        <v>25</v>
      </c>
      <c r="AB38" s="71" t="n">
        <v>25</v>
      </c>
      <c r="AC38" s="70" t="n"/>
      <c r="AD38" s="69" t="n">
        <v>25</v>
      </c>
      <c r="AE38" s="71" t="n">
        <v>68</v>
      </c>
      <c r="AF38" s="70" t="n"/>
      <c r="AG38" s="57" t="n">
        <v>26</v>
      </c>
      <c r="AH38" s="58" t="n">
        <v>106</v>
      </c>
      <c r="AI38" s="45" t="n">
        <v>1</v>
      </c>
      <c r="AJ38" s="57" t="n">
        <v>26</v>
      </c>
      <c r="AK38" s="58" t="n">
        <v>99</v>
      </c>
      <c r="AL38" s="45" t="n"/>
      <c r="AM38" s="57" t="n">
        <v>24.5</v>
      </c>
      <c r="AN38" s="58" t="n">
        <v>68</v>
      </c>
      <c r="AO38" s="45" t="n">
        <v>1</v>
      </c>
      <c r="AP38" s="57" t="n">
        <v>18.5</v>
      </c>
      <c r="AQ38" s="58" t="n">
        <v>40</v>
      </c>
      <c r="AR38" s="45" t="n"/>
      <c r="AS38" s="37">
        <f>SUM(I38+L38+O38+R38+U38+X38+AA38+AD38+AG38+AJ38+AM38+AP38)</f>
        <v/>
      </c>
      <c r="AT38" s="38">
        <f>SUM(J38+M38+P38+S38+V38+Y38+AB38+AE38+AH38+AK38+AN38+AQ38)</f>
        <v/>
      </c>
      <c r="AU38" s="38">
        <f>SUM(K38+N38+Q38+T38+W38+Z38+AC38+AF38+AI38+AL38+AO38+AR38)</f>
        <v/>
      </c>
      <c r="AV38" s="56" t="inlineStr">
        <is>
          <t>OT PAINT</t>
        </is>
      </c>
    </row>
    <row r="39">
      <c r="A39" s="13" t="n">
        <v>35</v>
      </c>
      <c r="B39" s="241" t="inlineStr">
        <is>
          <t>นาย</t>
        </is>
      </c>
      <c r="C39" s="241" t="inlineStr">
        <is>
          <t>สำราญ</t>
        </is>
      </c>
      <c r="D39" s="74" t="inlineStr">
        <is>
          <t>เข็มเงิน</t>
        </is>
      </c>
      <c r="E39" s="75" t="inlineStr">
        <is>
          <t>647</t>
        </is>
      </c>
      <c r="F39" s="86" t="n">
        <v>235363</v>
      </c>
      <c r="G39" s="85" t="inlineStr">
        <is>
          <t>หัวหน้าซ่อมบำรุง</t>
        </is>
      </c>
      <c r="H39" s="171" t="n"/>
      <c r="I39" s="19" t="n">
        <v>23</v>
      </c>
      <c r="J39" s="19" t="n">
        <v>82.5</v>
      </c>
      <c r="K39" s="60" t="n"/>
      <c r="L39" s="57" t="n">
        <v>24</v>
      </c>
      <c r="M39" s="58" t="n">
        <v>40</v>
      </c>
      <c r="N39" s="45" t="n"/>
      <c r="O39" s="25" t="n">
        <v>25</v>
      </c>
      <c r="P39" s="20" t="n"/>
      <c r="Q39" s="21" t="n"/>
      <c r="R39" s="48" t="n">
        <v>23</v>
      </c>
      <c r="S39" s="52" t="n"/>
      <c r="T39" s="53" t="n"/>
      <c r="U39" s="66" t="n">
        <v>26</v>
      </c>
      <c r="V39" s="67" t="n">
        <v>5</v>
      </c>
      <c r="W39" s="68" t="n"/>
      <c r="X39" s="87" t="n">
        <v>23</v>
      </c>
      <c r="Y39" s="71" t="n">
        <v>100</v>
      </c>
      <c r="Z39" s="88" t="n"/>
      <c r="AA39" s="87" t="n">
        <v>25</v>
      </c>
      <c r="AB39" s="89" t="n">
        <v>108</v>
      </c>
      <c r="AC39" s="88" t="n"/>
      <c r="AD39" s="87" t="n">
        <v>22.5</v>
      </c>
      <c r="AE39" s="89" t="n">
        <v>98</v>
      </c>
      <c r="AF39" s="88" t="n">
        <v>1</v>
      </c>
      <c r="AG39" s="90" t="n">
        <v>25</v>
      </c>
      <c r="AH39" s="35" t="n">
        <v>186</v>
      </c>
      <c r="AI39" s="36" t="n"/>
      <c r="AJ39" s="90" t="n">
        <v>26</v>
      </c>
      <c r="AK39" s="35" t="n">
        <v>197</v>
      </c>
      <c r="AL39" s="36" t="n"/>
      <c r="AM39" s="90" t="n">
        <v>25</v>
      </c>
      <c r="AN39" s="35" t="n">
        <v>118</v>
      </c>
      <c r="AO39" s="36" t="n">
        <v>2</v>
      </c>
      <c r="AP39" s="90" t="n">
        <v>19</v>
      </c>
      <c r="AQ39" s="35" t="n">
        <v>13</v>
      </c>
      <c r="AR39" s="36" t="n"/>
      <c r="AS39" s="37">
        <f>SUM(I39+L39+O39+R39+U39+X39+AA39+AD39+AG39+AJ39+AM39+AP39)</f>
        <v/>
      </c>
      <c r="AT39" s="38">
        <f>SUM(J39+M39+P39+S39+V39+Y39+AB39+AE39+AH39+AK39+AN39+AQ39)</f>
        <v/>
      </c>
      <c r="AU39" s="38">
        <f>SUM(K39+N39+Q39+T39+W39+Z39+AC39+AF39+AI39+AL39+AO39+AR39)</f>
        <v/>
      </c>
      <c r="AV39" s="18" t="inlineStr">
        <is>
          <t>OT</t>
        </is>
      </c>
    </row>
    <row r="40">
      <c r="A40" s="13" t="n">
        <v>36</v>
      </c>
      <c r="B40" s="241" t="inlineStr">
        <is>
          <t>นาย</t>
        </is>
      </c>
      <c r="C40" s="241" t="inlineStr">
        <is>
          <t>สุชัย</t>
        </is>
      </c>
      <c r="D40" s="64" t="inlineStr">
        <is>
          <t>ใจเย็น</t>
        </is>
      </c>
      <c r="E40" s="99" t="inlineStr">
        <is>
          <t>348</t>
        </is>
      </c>
      <c r="F40" s="86" t="n">
        <v>239977</v>
      </c>
      <c r="G40" s="56" t="inlineStr">
        <is>
          <t>แผนกตัดผ้า</t>
        </is>
      </c>
      <c r="H40" s="256" t="n"/>
      <c r="I40" s="19" t="n">
        <v>25</v>
      </c>
      <c r="J40" s="19" t="n"/>
      <c r="K40" s="60" t="n"/>
      <c r="L40" s="57" t="n">
        <v>24</v>
      </c>
      <c r="M40" s="58" t="n">
        <v>48</v>
      </c>
      <c r="N40" s="45" t="n"/>
      <c r="O40" s="25" t="n">
        <v>26</v>
      </c>
      <c r="P40" s="43" t="n">
        <v>8</v>
      </c>
      <c r="Q40" s="47" t="n"/>
      <c r="R40" s="51" t="n">
        <v>21</v>
      </c>
      <c r="S40" s="52" t="n">
        <v>16</v>
      </c>
      <c r="T40" s="53" t="n"/>
      <c r="U40" s="66" t="n">
        <v>24</v>
      </c>
      <c r="V40" s="67" t="n">
        <v>36</v>
      </c>
      <c r="W40" s="68" t="n"/>
      <c r="X40" s="54" t="n">
        <v>23</v>
      </c>
      <c r="Y40" s="55" t="n">
        <v>60</v>
      </c>
      <c r="Z40" s="56" t="n"/>
      <c r="AA40" s="54" t="n">
        <v>25.5</v>
      </c>
      <c r="AB40" s="55" t="n">
        <v>52</v>
      </c>
      <c r="AC40" s="56" t="n"/>
      <c r="AD40" s="54" t="n">
        <v>24</v>
      </c>
      <c r="AE40" s="55" t="n">
        <v>52</v>
      </c>
      <c r="AF40" s="56" t="n"/>
      <c r="AG40" s="57" t="n">
        <v>25.5</v>
      </c>
      <c r="AH40" s="58" t="n">
        <v>66</v>
      </c>
      <c r="AI40" s="45" t="n"/>
      <c r="AJ40" s="57" t="n">
        <v>24</v>
      </c>
      <c r="AK40" s="58" t="n">
        <v>55</v>
      </c>
      <c r="AL40" s="45" t="n"/>
      <c r="AM40" s="57" t="n">
        <v>25</v>
      </c>
      <c r="AN40" s="58" t="n">
        <v>56</v>
      </c>
      <c r="AO40" s="45" t="n"/>
      <c r="AP40" s="57" t="n">
        <v>23</v>
      </c>
      <c r="AQ40" s="72" t="n">
        <v>16</v>
      </c>
      <c r="AR40" s="73" t="n"/>
      <c r="AS40" s="37">
        <f>SUM(I40+L40+O40+R40+U40+X40+AA40+AD40+AG40+AJ40+AM40+AP40)</f>
        <v/>
      </c>
      <c r="AT40" s="38">
        <f>SUM(J40+M40+P40+S40+V40+Y40+AB40+AE40+AH40+AK40+AN40+AQ40)</f>
        <v/>
      </c>
      <c r="AU40" s="38">
        <f>SUM(K40+N40+Q40+T40+W40+Z40+AC40+AF40+AI40+AL40+AO40+AR40)</f>
        <v/>
      </c>
      <c r="AV40" s="18" t="inlineStr">
        <is>
          <t>OT</t>
        </is>
      </c>
    </row>
    <row r="41">
      <c r="A41" s="13" t="n">
        <v>37</v>
      </c>
      <c r="B41" s="241" t="inlineStr">
        <is>
          <t>นาย</t>
        </is>
      </c>
      <c r="C41" s="241" t="inlineStr">
        <is>
          <t>สุทน</t>
        </is>
      </c>
      <c r="D41" s="74" t="inlineStr">
        <is>
          <t>ธัญญเจริญ</t>
        </is>
      </c>
      <c r="E41" s="65" t="inlineStr">
        <is>
          <t>358</t>
        </is>
      </c>
      <c r="F41" s="86" t="n">
        <v>236619</v>
      </c>
      <c r="G41" s="85" t="inlineStr">
        <is>
          <t>แผนกอัดหมวก</t>
        </is>
      </c>
      <c r="H41" s="256" t="n"/>
      <c r="I41" s="19" t="n">
        <v>24</v>
      </c>
      <c r="J41" s="19" t="n">
        <v>60</v>
      </c>
      <c r="K41" s="60" t="n"/>
      <c r="L41" s="57" t="n">
        <v>24</v>
      </c>
      <c r="M41" s="58" t="n">
        <v>80</v>
      </c>
      <c r="N41" s="45" t="n"/>
      <c r="O41" s="25" t="n">
        <v>22</v>
      </c>
      <c r="P41" s="19" t="n">
        <v>28</v>
      </c>
      <c r="Q41" s="60" t="n"/>
      <c r="R41" s="51" t="n">
        <v>23</v>
      </c>
      <c r="S41" s="52" t="n">
        <v>76</v>
      </c>
      <c r="T41" s="53" t="n"/>
      <c r="U41" s="66" t="n">
        <v>23</v>
      </c>
      <c r="V41" s="67" t="n">
        <v>17.5</v>
      </c>
      <c r="W41" s="68" t="n"/>
      <c r="X41" s="87" t="n">
        <v>23</v>
      </c>
      <c r="Y41" s="89" t="n">
        <v>61</v>
      </c>
      <c r="Z41" s="88" t="n"/>
      <c r="AA41" s="87" t="n">
        <v>25</v>
      </c>
      <c r="AB41" s="89" t="n">
        <v>80</v>
      </c>
      <c r="AC41" s="88" t="n"/>
      <c r="AD41" s="87" t="n">
        <v>24.5</v>
      </c>
      <c r="AE41" s="89" t="n">
        <v>60</v>
      </c>
      <c r="AF41" s="88" t="n"/>
      <c r="AG41" s="90" t="n">
        <v>26</v>
      </c>
      <c r="AH41" s="35" t="n">
        <v>98</v>
      </c>
      <c r="AI41" s="36" t="n">
        <v>1</v>
      </c>
      <c r="AJ41" s="90" t="n">
        <v>23</v>
      </c>
      <c r="AK41" s="35" t="n">
        <v>83</v>
      </c>
      <c r="AL41" s="36" t="n"/>
      <c r="AM41" s="90" t="n">
        <v>21</v>
      </c>
      <c r="AN41" s="35" t="n">
        <v>80</v>
      </c>
      <c r="AO41" s="36" t="n"/>
      <c r="AP41" s="90" t="n">
        <v>22</v>
      </c>
      <c r="AQ41" s="72" t="n">
        <v>80</v>
      </c>
      <c r="AR41" s="73" t="n"/>
      <c r="AS41" s="37">
        <f>SUM(I41+L41+O41+R41+U41+X41+AA41+AD41+AG41+AJ41+AM41+AP41)</f>
        <v/>
      </c>
      <c r="AT41" s="38">
        <f>SUM(J41+M41+P41+S41+V41+Y41+AB41+AE41+AH41+AK41+AN41+AQ41)</f>
        <v/>
      </c>
      <c r="AU41" s="38">
        <f>SUM(K41+N41+Q41+T41+W41+Z41+AC41+AF41+AI41+AL41+AO41+AR41)</f>
        <v/>
      </c>
      <c r="AV41" s="18" t="inlineStr">
        <is>
          <t>OT</t>
        </is>
      </c>
    </row>
    <row r="42">
      <c r="A42" s="13" t="n">
        <v>38</v>
      </c>
      <c r="B42" s="241" t="inlineStr">
        <is>
          <t>นาง</t>
        </is>
      </c>
      <c r="C42" s="241" t="inlineStr">
        <is>
          <t>สุนีย์</t>
        </is>
      </c>
      <c r="D42" s="64" t="inlineStr">
        <is>
          <t>นาคสังข์</t>
        </is>
      </c>
      <c r="E42" s="75" t="inlineStr">
        <is>
          <t>348</t>
        </is>
      </c>
      <c r="F42" s="86" t="n">
        <v>236264</v>
      </c>
      <c r="G42" s="85" t="inlineStr">
        <is>
          <t>ทั่วไป</t>
        </is>
      </c>
      <c r="H42" s="171" t="n"/>
      <c r="I42" s="19" t="n">
        <v>21.5</v>
      </c>
      <c r="J42" s="19" t="n"/>
      <c r="K42" s="60" t="n"/>
      <c r="L42" s="57" t="n">
        <v>18.5</v>
      </c>
      <c r="M42" s="58" t="n"/>
      <c r="N42" s="45" t="n"/>
      <c r="O42" s="25" t="n">
        <v>18</v>
      </c>
      <c r="P42" s="43" t="n"/>
      <c r="Q42" s="47" t="n"/>
      <c r="R42" s="51" t="n">
        <v>21</v>
      </c>
      <c r="S42" s="52" t="n"/>
      <c r="T42" s="53" t="n"/>
      <c r="U42" s="66" t="n">
        <v>24</v>
      </c>
      <c r="V42" s="67" t="n"/>
      <c r="W42" s="68" t="n"/>
      <c r="X42" s="69" t="n">
        <v>19</v>
      </c>
      <c r="Y42" s="71" t="n"/>
      <c r="Z42" s="70" t="n"/>
      <c r="AA42" s="69" t="n">
        <v>15</v>
      </c>
      <c r="AB42" s="71" t="n">
        <v>12</v>
      </c>
      <c r="AC42" s="70" t="n"/>
      <c r="AD42" s="69" t="n">
        <v>24</v>
      </c>
      <c r="AE42" s="71" t="n">
        <v>24</v>
      </c>
      <c r="AF42" s="70" t="n"/>
      <c r="AG42" s="57" t="n">
        <v>22.5</v>
      </c>
      <c r="AH42" s="58" t="n">
        <v>32</v>
      </c>
      <c r="AI42" s="45" t="n"/>
      <c r="AJ42" s="57" t="n">
        <v>23.5</v>
      </c>
      <c r="AK42" s="58" t="n">
        <v>28</v>
      </c>
      <c r="AL42" s="45" t="n"/>
      <c r="AM42" s="57" t="n">
        <v>21</v>
      </c>
      <c r="AN42" s="58" t="n">
        <v>36</v>
      </c>
      <c r="AO42" s="45" t="n"/>
      <c r="AP42" s="57" t="n">
        <v>23</v>
      </c>
      <c r="AQ42" s="72" t="n"/>
      <c r="AR42" s="73" t="n"/>
      <c r="AS42" s="37">
        <f>SUM(I42+L42+O42+R42+U42+X42+AA42+AD42+AG42+AJ42+AM42+AP42)</f>
        <v/>
      </c>
      <c r="AT42" s="38">
        <f>SUM(J42+M42+P42+S42+V42+Y42+AB42+AE42+AH42+AK42+AN42+AQ42)</f>
        <v/>
      </c>
      <c r="AU42" s="38">
        <f>SUM(K42+N42+Q42+T42+W42+Z42+AC42+AF42+AI42+AL42+AO42+AR42)</f>
        <v/>
      </c>
      <c r="AV42" s="18" t="inlineStr">
        <is>
          <t>OT</t>
        </is>
      </c>
    </row>
    <row r="43">
      <c r="A43" s="13" t="n">
        <v>39</v>
      </c>
      <c r="B43" s="241" t="inlineStr">
        <is>
          <t>นาย</t>
        </is>
      </c>
      <c r="C43" s="241" t="inlineStr">
        <is>
          <t>สุวิชา</t>
        </is>
      </c>
      <c r="D43" s="64" t="inlineStr">
        <is>
          <t>จ้อยชู</t>
        </is>
      </c>
      <c r="E43" s="75" t="inlineStr">
        <is>
          <t>358</t>
        </is>
      </c>
      <c r="F43" s="41" t="n">
        <v>239930</v>
      </c>
      <c r="G43" s="85" t="inlineStr">
        <is>
          <t>แผนกอัดหมวก</t>
        </is>
      </c>
      <c r="H43" s="256" t="n"/>
      <c r="I43" s="19" t="n">
        <v>25</v>
      </c>
      <c r="J43" s="19" t="n">
        <v>80</v>
      </c>
      <c r="K43" s="60" t="n"/>
      <c r="L43" s="57" t="n">
        <v>21</v>
      </c>
      <c r="M43" s="58" t="n">
        <v>64</v>
      </c>
      <c r="N43" s="45" t="n"/>
      <c r="O43" s="25" t="n">
        <v>23</v>
      </c>
      <c r="P43" s="19" t="n">
        <v>12</v>
      </c>
      <c r="Q43" s="60" t="n"/>
      <c r="R43" s="51" t="n">
        <v>22.5</v>
      </c>
      <c r="S43" s="52" t="n">
        <v>52</v>
      </c>
      <c r="T43" s="53" t="n"/>
      <c r="U43" s="66" t="n">
        <v>26</v>
      </c>
      <c r="V43" s="67" t="n">
        <v>18.5</v>
      </c>
      <c r="W43" s="68" t="n"/>
      <c r="X43" s="100" t="n">
        <v>19.5</v>
      </c>
      <c r="Y43" s="55" t="n">
        <v>32</v>
      </c>
      <c r="Z43" s="56" t="n"/>
      <c r="AA43" s="54" t="n">
        <v>26</v>
      </c>
      <c r="AB43" s="55" t="n">
        <v>88</v>
      </c>
      <c r="AC43" s="56" t="n"/>
      <c r="AD43" s="54" t="n">
        <v>24</v>
      </c>
      <c r="AE43" s="55" t="n">
        <v>91</v>
      </c>
      <c r="AF43" s="56" t="n"/>
      <c r="AG43" s="57" t="n">
        <v>26</v>
      </c>
      <c r="AH43" s="58" t="n">
        <v>102</v>
      </c>
      <c r="AI43" s="45" t="n">
        <v>1</v>
      </c>
      <c r="AJ43" s="57" t="n">
        <v>26</v>
      </c>
      <c r="AK43" s="58" t="n">
        <v>87</v>
      </c>
      <c r="AL43" s="45" t="n"/>
      <c r="AM43" s="57" t="n">
        <v>20</v>
      </c>
      <c r="AN43" s="58" t="n">
        <v>56</v>
      </c>
      <c r="AO43" s="45" t="n"/>
      <c r="AP43" s="57" t="n">
        <v>23</v>
      </c>
      <c r="AQ43" s="58" t="n">
        <v>72</v>
      </c>
      <c r="AR43" s="45" t="n"/>
      <c r="AS43" s="37">
        <f>SUM(I43+L43+O43+R43+U43+X43+AA43+AD43+AG43+AJ43+AM43+AP43)</f>
        <v/>
      </c>
      <c r="AT43" s="38">
        <f>SUM(J43+M43+P43+S43+V43+Y43+AB43+AE43+AH43+AK43+AN43+AQ43)</f>
        <v/>
      </c>
      <c r="AU43" s="38">
        <f>SUM(K43+N43+Q43+T43+W43+Z43+AC43+AF43+AI43+AL43+AO43+AR43)</f>
        <v/>
      </c>
      <c r="AV43" s="18" t="inlineStr">
        <is>
          <t>OT</t>
        </is>
      </c>
    </row>
    <row r="44">
      <c r="A44" s="13" t="n">
        <v>40</v>
      </c>
      <c r="B44" s="241" t="inlineStr">
        <is>
          <t>นาย</t>
        </is>
      </c>
      <c r="C44" s="241" t="inlineStr">
        <is>
          <t>สุวิทย์</t>
        </is>
      </c>
      <c r="D44" s="64" t="inlineStr">
        <is>
          <t>โฮมแพน</t>
        </is>
      </c>
      <c r="E44" s="75" t="inlineStr">
        <is>
          <t>349</t>
        </is>
      </c>
      <c r="F44" s="79" t="n">
        <v>243045</v>
      </c>
      <c r="G44" s="85" t="inlineStr">
        <is>
          <t>แผนกสี</t>
        </is>
      </c>
      <c r="H44" s="256" t="n"/>
      <c r="I44" s="19" t="n">
        <v>22</v>
      </c>
      <c r="J44" s="19" t="n"/>
      <c r="K44" s="60" t="n"/>
      <c r="L44" s="57" t="n">
        <v>22.5</v>
      </c>
      <c r="M44" s="58" t="n">
        <v>52</v>
      </c>
      <c r="N44" s="45" t="n"/>
      <c r="O44" s="25" t="n">
        <v>24.5</v>
      </c>
      <c r="P44" s="19" t="n">
        <v>4</v>
      </c>
      <c r="Q44" s="60" t="n"/>
      <c r="R44" s="51" t="n">
        <v>21.5</v>
      </c>
      <c r="S44" s="52" t="n">
        <v>24</v>
      </c>
      <c r="T44" s="53" t="n"/>
      <c r="U44" s="66" t="n">
        <v>22</v>
      </c>
      <c r="V44" s="67" t="n">
        <v>57</v>
      </c>
      <c r="W44" s="68" t="n"/>
      <c r="X44" s="54" t="n">
        <v>24</v>
      </c>
      <c r="Y44" s="55" t="n">
        <v>41</v>
      </c>
      <c r="Z44" s="56" t="n"/>
      <c r="AA44" s="54" t="n">
        <v>25</v>
      </c>
      <c r="AB44" s="55" t="n">
        <v>88</v>
      </c>
      <c r="AC44" s="56" t="n"/>
      <c r="AD44" s="54" t="n">
        <v>24</v>
      </c>
      <c r="AE44" s="55" t="n">
        <v>76</v>
      </c>
      <c r="AF44" s="56" t="n"/>
      <c r="AG44" s="54" t="n">
        <v>25</v>
      </c>
      <c r="AH44" s="55" t="n">
        <v>90</v>
      </c>
      <c r="AI44" s="56" t="n"/>
      <c r="AJ44" s="57" t="n">
        <v>26</v>
      </c>
      <c r="AK44" s="58" t="n">
        <v>71</v>
      </c>
      <c r="AL44" s="45" t="n"/>
      <c r="AM44" s="57" t="n">
        <v>21</v>
      </c>
      <c r="AN44" s="58" t="n">
        <v>60</v>
      </c>
      <c r="AO44" s="45" t="n"/>
      <c r="AP44" s="57" t="n">
        <v>22</v>
      </c>
      <c r="AQ44" s="58" t="n">
        <v>44</v>
      </c>
      <c r="AR44" s="45" t="n"/>
      <c r="AS44" s="37">
        <f>SUM(I44+L44+O44+R44+U44+X44+AA44+AD44+AG44+AJ44+AM44+AP44)</f>
        <v/>
      </c>
      <c r="AT44" s="38">
        <f>SUM(J44+M44+P44+S44+V44+Y44+AB44+AE44+AH44+AK44+AN44+AQ44)</f>
        <v/>
      </c>
      <c r="AU44" s="38">
        <f>SUM(K44+N44+Q44+T44+W44+Z44+AC44+AF44+AI44+AL44+AO44+AR44)</f>
        <v/>
      </c>
      <c r="AV44" s="56" t="inlineStr">
        <is>
          <t>OT PAINT</t>
        </is>
      </c>
    </row>
    <row r="45">
      <c r="A45" s="13" t="n">
        <v>41</v>
      </c>
      <c r="B45" s="241" t="inlineStr">
        <is>
          <t>นาย</t>
        </is>
      </c>
      <c r="C45" s="241" t="inlineStr">
        <is>
          <t>อภิเชษฐ์</t>
        </is>
      </c>
      <c r="D45" s="64" t="inlineStr">
        <is>
          <t>ทั่งทอง</t>
        </is>
      </c>
      <c r="E45" s="99" t="inlineStr">
        <is>
          <t>358</t>
        </is>
      </c>
      <c r="F45" s="41" t="n">
        <v>240455</v>
      </c>
      <c r="G45" s="56" t="inlineStr">
        <is>
          <t>แผนกอัดหมวก</t>
        </is>
      </c>
      <c r="H45" s="256" t="n"/>
      <c r="I45" s="20" t="n">
        <v>22</v>
      </c>
      <c r="J45" s="20" t="n">
        <v>71</v>
      </c>
      <c r="K45" s="21" t="n"/>
      <c r="L45" s="78" t="n">
        <v>22</v>
      </c>
      <c r="M45" s="23" t="n">
        <v>64</v>
      </c>
      <c r="N45" s="24" t="n"/>
      <c r="O45" s="44" t="n">
        <v>24.5</v>
      </c>
      <c r="P45" s="43" t="n">
        <v>12</v>
      </c>
      <c r="Q45" s="47" t="n"/>
      <c r="R45" s="48" t="n">
        <v>19</v>
      </c>
      <c r="S45" s="49" t="n">
        <v>28</v>
      </c>
      <c r="T45" s="50" t="n"/>
      <c r="U45" s="101" t="n">
        <v>24</v>
      </c>
      <c r="V45" s="102" t="n">
        <v>14.5</v>
      </c>
      <c r="W45" s="103" t="n"/>
      <c r="X45" s="82" t="n">
        <v>20.5</v>
      </c>
      <c r="Y45" s="84" t="n">
        <v>40</v>
      </c>
      <c r="Z45" s="83" t="n"/>
      <c r="AA45" s="82" t="n">
        <v>25</v>
      </c>
      <c r="AB45" s="84" t="n">
        <v>76</v>
      </c>
      <c r="AC45" s="83" t="n"/>
      <c r="AD45" s="82" t="n">
        <v>25</v>
      </c>
      <c r="AE45" s="84" t="n">
        <v>73</v>
      </c>
      <c r="AF45" s="83" t="n"/>
      <c r="AG45" s="18" t="n">
        <v>24.5</v>
      </c>
      <c r="AH45" s="93" t="n">
        <v>90</v>
      </c>
      <c r="AI45" s="92" t="n">
        <v>1</v>
      </c>
      <c r="AJ45" s="78" t="n">
        <v>25</v>
      </c>
      <c r="AK45" s="23" t="n">
        <v>71</v>
      </c>
      <c r="AL45" s="24" t="n"/>
      <c r="AM45" s="90" t="n">
        <v>23.5</v>
      </c>
      <c r="AN45" s="35" t="n">
        <v>60</v>
      </c>
      <c r="AO45" s="24" t="n"/>
      <c r="AP45" s="78" t="n">
        <v>21</v>
      </c>
      <c r="AQ45" s="35" t="n">
        <v>60</v>
      </c>
      <c r="AR45" s="36" t="n"/>
      <c r="AS45" s="37">
        <f>SUM(I45+L45+O45+R45+U45+X45+AA45+AD45+AG45+AJ45+AM45+AP45)</f>
        <v/>
      </c>
      <c r="AT45" s="38">
        <f>SUM(J45+M45+P45+S45+V45+Y45+AB45+AE45+AH45+AK45+AN45+AQ45)</f>
        <v/>
      </c>
      <c r="AU45" s="38">
        <f>SUM(K45+N45+Q45+T45+W45+Z45+AC45+AF45+AI45+AL45+AO45+AR45)</f>
        <v/>
      </c>
      <c r="AV45" s="18" t="inlineStr">
        <is>
          <t>OT</t>
        </is>
      </c>
    </row>
    <row r="46">
      <c r="A46" s="13" t="n">
        <v>42</v>
      </c>
      <c r="B46" s="241" t="inlineStr">
        <is>
          <t>นาย</t>
        </is>
      </c>
      <c r="C46" s="241" t="inlineStr">
        <is>
          <t>อำนวย</t>
        </is>
      </c>
      <c r="D46" s="64" t="inlineStr">
        <is>
          <t>อ่อนคำ</t>
        </is>
      </c>
      <c r="E46" s="65" t="inlineStr">
        <is>
          <t>352</t>
        </is>
      </c>
      <c r="F46" s="79" t="n">
        <v>241927</v>
      </c>
      <c r="G46" s="56" t="inlineStr">
        <is>
          <t>แผนกอัดหมวก</t>
        </is>
      </c>
      <c r="H46" s="171" t="n"/>
      <c r="I46" s="19" t="n">
        <v>25</v>
      </c>
      <c r="J46" s="19" t="n">
        <v>75</v>
      </c>
      <c r="K46" s="60" t="n"/>
      <c r="L46" s="57" t="n">
        <v>23</v>
      </c>
      <c r="M46" s="58" t="n">
        <v>12</v>
      </c>
      <c r="N46" s="45" t="n"/>
      <c r="O46" s="25" t="n">
        <v>21</v>
      </c>
      <c r="P46" s="76" t="n"/>
      <c r="Q46" s="77" t="n"/>
      <c r="R46" s="51" t="n">
        <v>22</v>
      </c>
      <c r="S46" s="52" t="n"/>
      <c r="T46" s="53" t="n"/>
      <c r="U46" s="66" t="n">
        <v>20</v>
      </c>
      <c r="V46" s="67" t="n">
        <v>9.5</v>
      </c>
      <c r="W46" s="68" t="n"/>
      <c r="X46" s="69" t="n">
        <v>23</v>
      </c>
      <c r="Y46" s="71" t="n">
        <v>100</v>
      </c>
      <c r="Z46" s="70" t="n"/>
      <c r="AA46" s="69" t="n">
        <v>24</v>
      </c>
      <c r="AB46" s="71" t="n">
        <v>106</v>
      </c>
      <c r="AC46" s="70" t="n"/>
      <c r="AD46" s="69" t="n">
        <v>23.5</v>
      </c>
      <c r="AE46" s="71" t="n">
        <v>30</v>
      </c>
      <c r="AF46" s="70" t="n"/>
      <c r="AG46" s="69" t="n">
        <v>21</v>
      </c>
      <c r="AH46" s="71" t="n">
        <v>154</v>
      </c>
      <c r="AI46" s="70" t="n"/>
      <c r="AJ46" s="57" t="n">
        <v>24</v>
      </c>
      <c r="AK46" s="58" t="n">
        <v>189</v>
      </c>
      <c r="AL46" s="45" t="n"/>
      <c r="AM46" s="57" t="n">
        <v>22</v>
      </c>
      <c r="AN46" s="58" t="n">
        <v>102</v>
      </c>
      <c r="AO46" s="45" t="n"/>
      <c r="AP46" s="57" t="n">
        <v>25</v>
      </c>
      <c r="AQ46" s="72" t="n">
        <v>84</v>
      </c>
      <c r="AR46" s="73" t="n"/>
      <c r="AS46" s="37">
        <f>SUM(I46+L46+O46+R46+U46+X46+AA46+AD46+AG46+AJ46+AM46+AP46)</f>
        <v/>
      </c>
      <c r="AT46" s="38">
        <f>SUM(J46+M46+P46+S46+V46+Y46+AB46+AE46+AH46+AK46+AN46+AQ46)</f>
        <v/>
      </c>
      <c r="AU46" s="38">
        <f>SUM(K46+N46+Q46+T46+W46+Z46+AC46+AF46+AI46+AL46+AO46+AR46)</f>
        <v/>
      </c>
      <c r="AV46" s="18" t="inlineStr">
        <is>
          <t>OT</t>
        </is>
      </c>
    </row>
    <row r="47">
      <c r="A47" s="13" t="n">
        <v>43</v>
      </c>
      <c r="B47" s="241" t="inlineStr">
        <is>
          <t>นาย</t>
        </is>
      </c>
      <c r="C47" s="241" t="inlineStr">
        <is>
          <t>กิตติศักดิ์</t>
        </is>
      </c>
      <c r="D47" s="74" t="inlineStr">
        <is>
          <t>นวลศรีไพร</t>
        </is>
      </c>
      <c r="E47" s="99" t="inlineStr">
        <is>
          <t>348</t>
        </is>
      </c>
      <c r="F47" s="41" t="n">
        <v>243257</v>
      </c>
      <c r="G47" s="85" t="inlineStr">
        <is>
          <t>ทั่วไป</t>
        </is>
      </c>
      <c r="H47" s="256" t="n"/>
      <c r="I47" s="19" t="n">
        <v>25</v>
      </c>
      <c r="J47" s="19" t="n">
        <v>84</v>
      </c>
      <c r="K47" s="60" t="n"/>
      <c r="L47" s="57" t="n">
        <v>23</v>
      </c>
      <c r="M47" s="58" t="n">
        <v>80</v>
      </c>
      <c r="N47" s="45" t="n"/>
      <c r="O47" s="25" t="n">
        <v>25.5</v>
      </c>
      <c r="P47" s="19" t="n">
        <v>84</v>
      </c>
      <c r="Q47" s="60" t="n"/>
      <c r="R47" s="51" t="n">
        <v>21</v>
      </c>
      <c r="S47" s="52" t="n">
        <v>72</v>
      </c>
      <c r="T47" s="53" t="n"/>
      <c r="U47" s="66" t="n">
        <v>26</v>
      </c>
      <c r="V47" s="67" t="n">
        <v>84</v>
      </c>
      <c r="W47" s="68" t="n"/>
      <c r="X47" s="54" t="n">
        <v>20</v>
      </c>
      <c r="Y47" s="55" t="n">
        <v>68</v>
      </c>
      <c r="Z47" s="56" t="n"/>
      <c r="AA47" s="54" t="n">
        <v>23</v>
      </c>
      <c r="AB47" s="55" t="n">
        <v>88</v>
      </c>
      <c r="AC47" s="56" t="n"/>
      <c r="AD47" s="54" t="n">
        <v>24</v>
      </c>
      <c r="AE47" s="55" t="n">
        <v>84</v>
      </c>
      <c r="AF47" s="56" t="n"/>
      <c r="AG47" s="69" t="n">
        <v>25</v>
      </c>
      <c r="AH47" s="71" t="n">
        <v>90</v>
      </c>
      <c r="AI47" s="70" t="n">
        <v>1</v>
      </c>
      <c r="AJ47" s="90" t="n">
        <v>24</v>
      </c>
      <c r="AK47" s="35" t="n">
        <v>87</v>
      </c>
      <c r="AL47" s="36" t="n"/>
      <c r="AM47" s="78" t="n">
        <v>24</v>
      </c>
      <c r="AN47" s="23" t="n">
        <v>84</v>
      </c>
      <c r="AO47" s="36" t="n"/>
      <c r="AP47" s="90" t="n">
        <v>23</v>
      </c>
      <c r="AQ47" s="35" t="n">
        <v>80</v>
      </c>
      <c r="AR47" s="36" t="n"/>
      <c r="AS47" s="37">
        <f>SUM(I47+L47+O47+R47+U47+X47+AA47+AD47+AG47+AJ47+AM47+AP47)</f>
        <v/>
      </c>
      <c r="AT47" s="38">
        <f>SUM(J47+M47+P47+S47+V47+Y47+AB47+AE47+AH47+AK47+AN47+AQ47)</f>
        <v/>
      </c>
      <c r="AU47" s="38">
        <f>SUM(K47+N47+Q47+T47+W47+Z47+AC47+AF47+AI47+AL47+AO47+AR47)</f>
        <v/>
      </c>
      <c r="AV47" s="85" t="inlineStr">
        <is>
          <t>OT SEWING</t>
        </is>
      </c>
    </row>
    <row r="48">
      <c r="A48" s="13" t="n">
        <v>44</v>
      </c>
      <c r="B48" s="241" t="inlineStr">
        <is>
          <t>น.ส.</t>
        </is>
      </c>
      <c r="C48" s="241" t="inlineStr">
        <is>
          <t>กัลยา</t>
        </is>
      </c>
      <c r="D48" s="74" t="inlineStr">
        <is>
          <t>เปี่ยมสิน</t>
        </is>
      </c>
      <c r="E48" s="65" t="inlineStr">
        <is>
          <t>354</t>
        </is>
      </c>
      <c r="F48" s="41" t="n">
        <v>237079</v>
      </c>
      <c r="G48" s="85" t="inlineStr">
        <is>
          <t>เย็บผ้า</t>
        </is>
      </c>
      <c r="H48" s="256" t="n"/>
      <c r="I48" s="19" t="n">
        <v>24</v>
      </c>
      <c r="J48" s="19" t="n">
        <v>96</v>
      </c>
      <c r="K48" s="60" t="n"/>
      <c r="L48" s="57" t="n">
        <v>22</v>
      </c>
      <c r="M48" s="58" t="n">
        <v>80</v>
      </c>
      <c r="N48" s="45" t="n">
        <v>2</v>
      </c>
      <c r="O48" s="25" t="n">
        <v>26</v>
      </c>
      <c r="P48" s="43" t="n">
        <v>100</v>
      </c>
      <c r="Q48" s="47" t="n"/>
      <c r="R48" s="51" t="n">
        <v>21</v>
      </c>
      <c r="S48" s="52" t="n">
        <v>80</v>
      </c>
      <c r="T48" s="53" t="n"/>
      <c r="U48" s="66" t="n">
        <v>26</v>
      </c>
      <c r="V48" s="102" t="n">
        <v>100.5</v>
      </c>
      <c r="W48" s="103" t="n"/>
      <c r="X48" s="104" t="n">
        <v>19</v>
      </c>
      <c r="Y48" s="105" t="n">
        <v>76</v>
      </c>
      <c r="Z48" s="32" t="n">
        <v>1</v>
      </c>
      <c r="AA48" s="104" t="n">
        <v>26</v>
      </c>
      <c r="AB48" s="105" t="n">
        <v>104</v>
      </c>
      <c r="AC48" s="32" t="n">
        <v>3</v>
      </c>
      <c r="AD48" s="104" t="n">
        <v>24</v>
      </c>
      <c r="AE48" s="105" t="n">
        <v>96</v>
      </c>
      <c r="AF48" s="32" t="n">
        <v>6</v>
      </c>
      <c r="AG48" s="18" t="n">
        <v>26</v>
      </c>
      <c r="AH48" s="93" t="n">
        <v>104</v>
      </c>
      <c r="AI48" s="92" t="n">
        <v>3</v>
      </c>
      <c r="AJ48" s="57" t="n">
        <v>26</v>
      </c>
      <c r="AK48" s="58" t="n">
        <v>103</v>
      </c>
      <c r="AL48" s="45" t="n">
        <v>3</v>
      </c>
      <c r="AM48" s="57" t="n">
        <v>25</v>
      </c>
      <c r="AN48" s="58" t="n">
        <v>100</v>
      </c>
      <c r="AO48" s="45" t="n">
        <v>5</v>
      </c>
      <c r="AP48" s="57" t="n">
        <v>19.5</v>
      </c>
      <c r="AQ48" s="72" t="n">
        <v>72</v>
      </c>
      <c r="AR48" s="73" t="n">
        <v>2</v>
      </c>
      <c r="AS48" s="37">
        <f>SUM(I48+L48+O48+R48+U48+X48+AA48+AD48+AG48+AJ48+AM48+AP48)</f>
        <v/>
      </c>
      <c r="AT48" s="38">
        <f>SUM(J48+M48+P48+S48+V48+Y48+AB48+AE48+AH48+AK48+AN48+AQ48)</f>
        <v/>
      </c>
      <c r="AU48" s="38">
        <f>SUM(K48+N48+Q48+T48+W48+Z48+AC48+AF48+AI48+AL48+AO48+AR48)</f>
        <v/>
      </c>
      <c r="AV48" s="85" t="inlineStr">
        <is>
          <t>OT SEWING</t>
        </is>
      </c>
    </row>
    <row r="49">
      <c r="A49" s="13" t="n">
        <v>45</v>
      </c>
      <c r="B49" s="241" t="inlineStr">
        <is>
          <t>นาง</t>
        </is>
      </c>
      <c r="C49" s="241" t="inlineStr">
        <is>
          <t>กัลยาภัสร์</t>
        </is>
      </c>
      <c r="D49" s="74" t="inlineStr">
        <is>
          <t>สิทธิวิโรฒโภคิน</t>
        </is>
      </c>
      <c r="E49" s="75" t="inlineStr">
        <is>
          <t>348</t>
        </is>
      </c>
      <c r="F49" s="41" t="n">
        <v>237962</v>
      </c>
      <c r="G49" s="85" t="inlineStr">
        <is>
          <t>ทั่วไป</t>
        </is>
      </c>
      <c r="H49" s="256" t="n"/>
      <c r="I49" s="19" t="n">
        <v>23</v>
      </c>
      <c r="J49" s="19" t="n"/>
      <c r="K49" s="60" t="n"/>
      <c r="L49" s="57" t="n">
        <v>20.5</v>
      </c>
      <c r="M49" s="58" t="n"/>
      <c r="N49" s="45" t="n"/>
      <c r="O49" s="25" t="n">
        <v>25</v>
      </c>
      <c r="P49" s="76" t="n"/>
      <c r="Q49" s="77" t="n"/>
      <c r="R49" s="51" t="n">
        <v>22</v>
      </c>
      <c r="S49" s="52" t="n"/>
      <c r="T49" s="53" t="n"/>
      <c r="U49" s="66" t="n">
        <v>25</v>
      </c>
      <c r="V49" s="67" t="n"/>
      <c r="W49" s="68" t="n"/>
      <c r="X49" s="87" t="n">
        <v>18</v>
      </c>
      <c r="Y49" s="89" t="n"/>
      <c r="Z49" s="88" t="n"/>
      <c r="AA49" s="87" t="n">
        <v>24</v>
      </c>
      <c r="AB49" s="89" t="n"/>
      <c r="AC49" s="88" t="n"/>
      <c r="AD49" s="87" t="n">
        <v>24</v>
      </c>
      <c r="AE49" s="89" t="n"/>
      <c r="AF49" s="88" t="n"/>
      <c r="AG49" s="57" t="n">
        <v>22</v>
      </c>
      <c r="AH49" s="58" t="n"/>
      <c r="AI49" s="45" t="n"/>
      <c r="AJ49" s="90" t="n">
        <v>25</v>
      </c>
      <c r="AK49" s="35" t="n"/>
      <c r="AL49" s="36" t="n"/>
      <c r="AM49" s="90" t="n">
        <v>23</v>
      </c>
      <c r="AN49" s="35" t="n"/>
      <c r="AO49" s="36" t="n"/>
      <c r="AP49" s="90" t="n">
        <v>19</v>
      </c>
      <c r="AQ49" s="72" t="n"/>
      <c r="AR49" s="73" t="n"/>
      <c r="AS49" s="37">
        <f>SUM(I49+L49+O49+R49+U49+X49+AA49+AD49+AG49+AJ49+AM49+AP49)</f>
        <v/>
      </c>
      <c r="AT49" s="38">
        <f>SUM(J49+M49+P49+S49+V49+Y49+AB49+AE49+AH49+AK49+AN49+AQ49)</f>
        <v/>
      </c>
      <c r="AU49" s="38">
        <f>SUM(K49+N49+Q49+T49+W49+Z49+AC49+AF49+AI49+AL49+AO49+AR49)</f>
        <v/>
      </c>
      <c r="AV49" s="85" t="inlineStr">
        <is>
          <t>OT SEWING</t>
        </is>
      </c>
    </row>
    <row r="50">
      <c r="A50" s="13" t="n">
        <v>46</v>
      </c>
      <c r="B50" s="241" t="inlineStr">
        <is>
          <t>น.ส.</t>
        </is>
      </c>
      <c r="C50" s="241" t="inlineStr">
        <is>
          <t>กิ่งกาญจน์</t>
        </is>
      </c>
      <c r="D50" s="64" t="inlineStr">
        <is>
          <t>นาคสังข์</t>
        </is>
      </c>
      <c r="E50" s="65" t="inlineStr">
        <is>
          <t>348</t>
        </is>
      </c>
      <c r="F50" s="41" t="n">
        <v>240141</v>
      </c>
      <c r="G50" s="85" t="inlineStr">
        <is>
          <t>เย็บผ้า</t>
        </is>
      </c>
      <c r="H50" s="171" t="n"/>
      <c r="I50" s="19" t="n">
        <v>24</v>
      </c>
      <c r="J50" s="19" t="n"/>
      <c r="K50" s="60" t="n"/>
      <c r="L50" s="57" t="n">
        <v>24</v>
      </c>
      <c r="M50" s="58" t="n"/>
      <c r="N50" s="45" t="n"/>
      <c r="O50" s="25" t="n">
        <v>26</v>
      </c>
      <c r="P50" s="76" t="n"/>
      <c r="Q50" s="77" t="n"/>
      <c r="R50" s="51" t="n">
        <v>23</v>
      </c>
      <c r="S50" s="52" t="n"/>
      <c r="T50" s="53" t="n"/>
      <c r="U50" s="66" t="n">
        <v>26</v>
      </c>
      <c r="V50" s="67" t="n"/>
      <c r="W50" s="68" t="n"/>
      <c r="X50" s="69" t="n">
        <v>24</v>
      </c>
      <c r="Y50" s="71" t="n"/>
      <c r="Z50" s="70" t="n"/>
      <c r="AA50" s="69" t="n">
        <v>26</v>
      </c>
      <c r="AB50" s="71" t="n"/>
      <c r="AC50" s="70" t="n"/>
      <c r="AD50" s="69" t="n">
        <v>23</v>
      </c>
      <c r="AE50" s="71" t="n"/>
      <c r="AF50" s="70" t="n"/>
      <c r="AG50" s="57" t="n">
        <v>26</v>
      </c>
      <c r="AH50" s="58" t="n"/>
      <c r="AI50" s="45" t="n"/>
      <c r="AJ50" s="57" t="n">
        <v>25</v>
      </c>
      <c r="AK50" s="58" t="n"/>
      <c r="AL50" s="45" t="n"/>
      <c r="AM50" s="57" t="n">
        <v>25</v>
      </c>
      <c r="AN50" s="58" t="n"/>
      <c r="AO50" s="45" t="n"/>
      <c r="AP50" s="57" t="n">
        <v>25</v>
      </c>
      <c r="AQ50" s="72" t="n"/>
      <c r="AR50" s="73" t="n"/>
      <c r="AS50" s="37">
        <f>SUM(I50+L50+O50+R50+U50+X50+AA50+AD50+AG50+AJ50+AM50+AP50)</f>
        <v/>
      </c>
      <c r="AT50" s="38">
        <f>SUM(J50+M50+P50+S50+V50+Y50+AB50+AE50+AH50+AK50+AN50+AQ50)</f>
        <v/>
      </c>
      <c r="AU50" s="38">
        <f>SUM(K50+N50+Q50+T50+W50+Z50+AC50+AF50+AI50+AL50+AO50+AR50)</f>
        <v/>
      </c>
      <c r="AV50" s="85" t="inlineStr">
        <is>
          <t>OT SEWING</t>
        </is>
      </c>
    </row>
    <row r="51">
      <c r="A51" s="13" t="n">
        <v>47</v>
      </c>
      <c r="B51" s="241" t="inlineStr">
        <is>
          <t>น.ส.</t>
        </is>
      </c>
      <c r="C51" s="241" t="inlineStr">
        <is>
          <t>จันทร์สุรีย์</t>
        </is>
      </c>
      <c r="D51" s="64" t="inlineStr">
        <is>
          <t>เปี่ยมสิน</t>
        </is>
      </c>
      <c r="E51" s="65" t="inlineStr">
        <is>
          <t>348</t>
        </is>
      </c>
      <c r="F51" s="41" t="n">
        <v>237531</v>
      </c>
      <c r="G51" s="56" t="inlineStr">
        <is>
          <t>เย็บผ้า</t>
        </is>
      </c>
      <c r="H51" s="205" t="n"/>
      <c r="I51" s="19" t="n">
        <v>24.5</v>
      </c>
      <c r="J51" s="19" t="n"/>
      <c r="K51" s="60" t="n"/>
      <c r="L51" s="57" t="n">
        <v>24</v>
      </c>
      <c r="M51" s="58" t="n"/>
      <c r="N51" s="45" t="n"/>
      <c r="O51" s="25" t="n">
        <v>25</v>
      </c>
      <c r="P51" s="76" t="n"/>
      <c r="Q51" s="77" t="n"/>
      <c r="R51" s="51" t="n">
        <v>22</v>
      </c>
      <c r="S51" s="52" t="n"/>
      <c r="T51" s="53" t="n"/>
      <c r="U51" s="66" t="n">
        <v>23</v>
      </c>
      <c r="V51" s="67" t="n">
        <v>4.5</v>
      </c>
      <c r="W51" s="68" t="n"/>
      <c r="X51" s="69" t="n">
        <v>24</v>
      </c>
      <c r="Y51" s="71" t="n"/>
      <c r="Z51" s="70" t="n"/>
      <c r="AA51" s="69" t="n">
        <v>26</v>
      </c>
      <c r="AB51" s="71" t="n"/>
      <c r="AC51" s="70" t="n"/>
      <c r="AD51" s="69" t="n">
        <v>25</v>
      </c>
      <c r="AE51" s="71" t="n"/>
      <c r="AF51" s="70" t="n"/>
      <c r="AG51" s="57" t="n">
        <v>26</v>
      </c>
      <c r="AH51" s="58" t="n"/>
      <c r="AI51" s="45" t="n"/>
      <c r="AJ51" s="57" t="n">
        <v>24.5</v>
      </c>
      <c r="AK51" s="58" t="n"/>
      <c r="AL51" s="45" t="n"/>
      <c r="AM51" s="57" t="n">
        <v>25</v>
      </c>
      <c r="AN51" s="58" t="n"/>
      <c r="AO51" s="45" t="n"/>
      <c r="AP51" s="57" t="n">
        <v>25</v>
      </c>
      <c r="AQ51" s="58" t="n"/>
      <c r="AR51" s="45" t="n"/>
      <c r="AS51" s="37">
        <f>SUM(I51+L51+O51+R51+U51+X51+AA51+AD51+AG51+AJ51+AM51+AP51)</f>
        <v/>
      </c>
      <c r="AT51" s="38">
        <f>SUM(J51+M51+P51+S51+V51+Y51+AB51+AE51+AH51+AK51+AN51+AQ51)</f>
        <v/>
      </c>
      <c r="AU51" s="38">
        <f>SUM(K51+N51+Q51+T51+W51+Z51+AC51+AF51+AI51+AL51+AO51+AR51)</f>
        <v/>
      </c>
      <c r="AV51" s="85" t="inlineStr">
        <is>
          <t>OT SEWING</t>
        </is>
      </c>
    </row>
    <row r="52">
      <c r="A52" s="13" t="n">
        <v>48</v>
      </c>
      <c r="B52" s="241" t="inlineStr">
        <is>
          <t>น.ส.</t>
        </is>
      </c>
      <c r="C52" s="241" t="inlineStr">
        <is>
          <t>ชลิดา</t>
        </is>
      </c>
      <c r="D52" s="64" t="inlineStr">
        <is>
          <t>ใจชื่น</t>
        </is>
      </c>
      <c r="E52" s="99" t="inlineStr">
        <is>
          <t>348</t>
        </is>
      </c>
      <c r="F52" s="86" t="n">
        <v>238873</v>
      </c>
      <c r="G52" s="85" t="inlineStr">
        <is>
          <t>เย็บผ้า</t>
        </is>
      </c>
      <c r="H52" s="171" t="n"/>
      <c r="I52" s="19" t="n">
        <v>24</v>
      </c>
      <c r="J52" s="19" t="n">
        <v>96</v>
      </c>
      <c r="K52" s="60" t="n"/>
      <c r="L52" s="57" t="n">
        <v>24</v>
      </c>
      <c r="M52" s="58" t="n">
        <v>92</v>
      </c>
      <c r="N52" s="45" t="n"/>
      <c r="O52" s="25" t="n">
        <v>24</v>
      </c>
      <c r="P52" s="76" t="n">
        <v>68</v>
      </c>
      <c r="Q52" s="77" t="n"/>
      <c r="R52" s="51" t="n">
        <v>22</v>
      </c>
      <c r="S52" s="52" t="n">
        <v>80</v>
      </c>
      <c r="T52" s="53" t="n"/>
      <c r="U52" s="66" t="n">
        <v>25</v>
      </c>
      <c r="V52" s="67" t="n">
        <v>92</v>
      </c>
      <c r="W52" s="68" t="n"/>
      <c r="X52" s="82" t="n">
        <v>23</v>
      </c>
      <c r="Y52" s="84" t="n">
        <v>92</v>
      </c>
      <c r="Z52" s="83" t="n"/>
      <c r="AA52" s="82" t="n">
        <v>26</v>
      </c>
      <c r="AB52" s="84" t="n">
        <v>92</v>
      </c>
      <c r="AC52" s="83" t="n"/>
      <c r="AD52" s="82" t="n">
        <v>24.5</v>
      </c>
      <c r="AE52" s="71" t="n">
        <v>88</v>
      </c>
      <c r="AF52" s="70" t="n">
        <v>3</v>
      </c>
      <c r="AG52" s="78" t="n">
        <v>25</v>
      </c>
      <c r="AH52" s="23" t="n">
        <v>100</v>
      </c>
      <c r="AI52" s="24" t="n">
        <v>3</v>
      </c>
      <c r="AJ52" s="78" t="n">
        <v>24</v>
      </c>
      <c r="AK52" s="23" t="n">
        <v>87</v>
      </c>
      <c r="AL52" s="24" t="n"/>
      <c r="AM52" s="78" t="n">
        <v>23.5</v>
      </c>
      <c r="AN52" s="23" t="n">
        <v>84</v>
      </c>
      <c r="AO52" s="24" t="n">
        <v>5</v>
      </c>
      <c r="AP52" s="78" t="n">
        <v>25</v>
      </c>
      <c r="AQ52" s="72" t="n">
        <v>96</v>
      </c>
      <c r="AR52" s="73" t="n">
        <v>4</v>
      </c>
      <c r="AS52" s="37">
        <f>SUM(I52+L52+O52+R52+U52+X52+AA52+AD52+AG52+AJ52+AM52+AP52)</f>
        <v/>
      </c>
      <c r="AT52" s="38">
        <f>SUM(J52+M52+P52+S52+V52+Y52+AB52+AE52+AH52+AK52+AN52+AQ52)</f>
        <v/>
      </c>
      <c r="AU52" s="38">
        <f>SUM(K52+N52+Q52+T52+W52+Z52+AC52+AF52+AI52+AL52+AO52+AR52)</f>
        <v/>
      </c>
      <c r="AV52" s="85" t="inlineStr">
        <is>
          <t>OT SEWING</t>
        </is>
      </c>
    </row>
    <row r="53">
      <c r="A53" s="13" t="n">
        <v>49</v>
      </c>
      <c r="B53" s="241" t="inlineStr">
        <is>
          <t>นาง</t>
        </is>
      </c>
      <c r="C53" s="241" t="inlineStr">
        <is>
          <t>ตรีเนตร</t>
        </is>
      </c>
      <c r="D53" s="107" t="inlineStr">
        <is>
          <t>คูสุวรรณ์</t>
        </is>
      </c>
      <c r="E53" s="75" t="inlineStr">
        <is>
          <t>348</t>
        </is>
      </c>
      <c r="F53" s="41" t="n">
        <v>238392</v>
      </c>
      <c r="G53" s="56" t="inlineStr">
        <is>
          <t>เย็บผ้า</t>
        </is>
      </c>
      <c r="H53" s="256" t="n"/>
      <c r="I53" s="19" t="n">
        <v>22</v>
      </c>
      <c r="J53" s="19" t="n">
        <v>32</v>
      </c>
      <c r="K53" s="60" t="n"/>
      <c r="L53" s="57" t="n">
        <v>21.5</v>
      </c>
      <c r="M53" s="58" t="n">
        <v>60</v>
      </c>
      <c r="N53" s="45" t="n">
        <v>1</v>
      </c>
      <c r="O53" s="25" t="n">
        <v>18</v>
      </c>
      <c r="P53" s="43" t="n">
        <v>12</v>
      </c>
      <c r="Q53" s="47" t="n"/>
      <c r="R53" s="51" t="n">
        <v>22.5</v>
      </c>
      <c r="S53" s="52" t="n">
        <v>44</v>
      </c>
      <c r="T53" s="53" t="n"/>
      <c r="U53" s="66" t="n">
        <v>24</v>
      </c>
      <c r="V53" s="67" t="n">
        <v>84</v>
      </c>
      <c r="W53" s="68" t="n"/>
      <c r="X53" s="54" t="n">
        <v>20</v>
      </c>
      <c r="Y53" s="55" t="n">
        <v>56</v>
      </c>
      <c r="Z53" s="56" t="n"/>
      <c r="AA53" s="54" t="n">
        <v>23</v>
      </c>
      <c r="AB53" s="55" t="n">
        <v>64</v>
      </c>
      <c r="AC53" s="56" t="n">
        <v>2</v>
      </c>
      <c r="AD53" s="54" t="n">
        <v>23</v>
      </c>
      <c r="AE53" s="55" t="n">
        <v>68</v>
      </c>
      <c r="AF53" s="56" t="n">
        <v>5</v>
      </c>
      <c r="AG53" s="57" t="n">
        <v>26</v>
      </c>
      <c r="AH53" s="58" t="n">
        <v>106</v>
      </c>
      <c r="AI53" s="45" t="n">
        <v>3</v>
      </c>
      <c r="AJ53" s="57" t="n">
        <v>18</v>
      </c>
      <c r="AK53" s="58" t="n">
        <v>63</v>
      </c>
      <c r="AL53" s="45" t="n">
        <v>1</v>
      </c>
      <c r="AM53" s="57" t="n">
        <v>12.5</v>
      </c>
      <c r="AN53" s="58" t="n"/>
      <c r="AO53" s="45" t="n"/>
      <c r="AP53" s="57" t="n">
        <v>25</v>
      </c>
      <c r="AQ53" s="58" t="n">
        <v>96</v>
      </c>
      <c r="AR53" s="45" t="n">
        <v>4</v>
      </c>
      <c r="AS53" s="37">
        <f>SUM(I53+L53+O53+R53+U53+X53+AA53+AD53+AG53+AJ53+AM53+AP53)</f>
        <v/>
      </c>
      <c r="AT53" s="38">
        <f>SUM(J53+M53+P53+S53+V53+Y53+AB53+AE53+AH53+AK53+AN53+AQ53)</f>
        <v/>
      </c>
      <c r="AU53" s="38">
        <f>SUM(K53+N53+Q53+T53+W53+Z53+AC53+AF53+AI53+AL53+AO53+AR53)</f>
        <v/>
      </c>
      <c r="AV53" s="85" t="inlineStr">
        <is>
          <t>OT SEWING</t>
        </is>
      </c>
    </row>
    <row r="54">
      <c r="A54" s="13" t="n">
        <v>50</v>
      </c>
      <c r="B54" s="241" t="inlineStr">
        <is>
          <t>นาง</t>
        </is>
      </c>
      <c r="C54" s="241" t="inlineStr">
        <is>
          <t>นันทพร</t>
        </is>
      </c>
      <c r="D54" s="14" t="inlineStr">
        <is>
          <t>สุภาผล</t>
        </is>
      </c>
      <c r="E54" s="65" t="inlineStr">
        <is>
          <t>348</t>
        </is>
      </c>
      <c r="F54" s="79" t="n">
        <v>243961</v>
      </c>
      <c r="G54" s="117" t="inlineStr">
        <is>
          <t>เย็บผ้า</t>
        </is>
      </c>
      <c r="H54" s="256" t="n"/>
      <c r="I54" s="19" t="n">
        <v>25</v>
      </c>
      <c r="J54" s="19" t="n">
        <v>100</v>
      </c>
      <c r="K54" s="60" t="n">
        <v>1</v>
      </c>
      <c r="L54" s="57" t="n">
        <v>24</v>
      </c>
      <c r="M54" s="58" t="n">
        <v>96</v>
      </c>
      <c r="N54" s="45" t="n">
        <v>4</v>
      </c>
      <c r="O54" s="25" t="n">
        <v>25</v>
      </c>
      <c r="P54" s="43" t="n">
        <v>92</v>
      </c>
      <c r="Q54" s="47" t="n"/>
      <c r="R54" s="51" t="n">
        <v>22</v>
      </c>
      <c r="S54" s="52" t="n">
        <v>80</v>
      </c>
      <c r="T54" s="53" t="n"/>
      <c r="U54" s="66" t="n">
        <v>26</v>
      </c>
      <c r="V54" s="67" t="n">
        <v>100</v>
      </c>
      <c r="W54" s="68" t="n"/>
      <c r="X54" s="54" t="n">
        <v>21</v>
      </c>
      <c r="Y54" s="55" t="n">
        <v>80</v>
      </c>
      <c r="Z54" s="56" t="n">
        <v>1</v>
      </c>
      <c r="AA54" s="54" t="n">
        <v>26</v>
      </c>
      <c r="AB54" s="55" t="n">
        <v>104</v>
      </c>
      <c r="AC54" s="56" t="n">
        <v>5</v>
      </c>
      <c r="AD54" s="54" t="n">
        <v>25</v>
      </c>
      <c r="AE54" s="55" t="n">
        <v>100</v>
      </c>
      <c r="AF54" s="56" t="n">
        <v>6</v>
      </c>
      <c r="AG54" s="57" t="n">
        <v>26</v>
      </c>
      <c r="AH54" s="58" t="n">
        <v>106</v>
      </c>
      <c r="AI54" s="45" t="n">
        <v>3</v>
      </c>
      <c r="AJ54" s="57" t="n">
        <v>25</v>
      </c>
      <c r="AK54" s="58" t="n">
        <v>95</v>
      </c>
      <c r="AL54" s="45" t="n">
        <v>2</v>
      </c>
      <c r="AM54" s="57" t="n">
        <v>24</v>
      </c>
      <c r="AN54" s="58" t="n">
        <v>96</v>
      </c>
      <c r="AO54" s="45" t="n">
        <v>2</v>
      </c>
      <c r="AP54" s="57" t="n">
        <v>25</v>
      </c>
      <c r="AQ54" s="72" t="n">
        <v>96</v>
      </c>
      <c r="AR54" s="73" t="n">
        <v>4</v>
      </c>
      <c r="AS54" s="37">
        <f>SUM(I54+L54+O54+R54+U54+X54+AA54+AD54+AG54+AJ54+AM54+AP54)</f>
        <v/>
      </c>
      <c r="AT54" s="38">
        <f>SUM(J54+M54+P54+S54+V54+Y54+AB54+AE54+AH54+AK54+AN54+AQ54)</f>
        <v/>
      </c>
      <c r="AU54" s="38">
        <f>SUM(K54+N54+Q54+T54+W54+Z54+AC54+AF54+AI54+AL54+AO54+AR54)</f>
        <v/>
      </c>
      <c r="AV54" s="85" t="inlineStr">
        <is>
          <t>OT SEWING</t>
        </is>
      </c>
    </row>
    <row r="55">
      <c r="A55" s="13" t="n">
        <v>51</v>
      </c>
      <c r="B55" s="241" t="inlineStr">
        <is>
          <t>น.ส.</t>
        </is>
      </c>
      <c r="C55" s="241" t="inlineStr">
        <is>
          <t>น้ำอ้อย</t>
        </is>
      </c>
      <c r="D55" s="64" t="inlineStr">
        <is>
          <t>อุ่มแสง</t>
        </is>
      </c>
      <c r="E55" s="75" t="inlineStr">
        <is>
          <t>351</t>
        </is>
      </c>
      <c r="F55" s="59" t="n">
        <v>236264</v>
      </c>
      <c r="G55" s="56" t="inlineStr">
        <is>
          <t>เย็บผ้า</t>
        </is>
      </c>
      <c r="H55" s="256" t="n"/>
      <c r="I55" s="19" t="n">
        <v>23.5</v>
      </c>
      <c r="J55" s="19" t="n">
        <v>84</v>
      </c>
      <c r="K55" s="60" t="n">
        <v>1</v>
      </c>
      <c r="L55" s="57" t="n">
        <v>22</v>
      </c>
      <c r="M55" s="58" t="n">
        <v>76</v>
      </c>
      <c r="N55" s="45" t="n">
        <v>1</v>
      </c>
      <c r="O55" s="25" t="n">
        <v>22</v>
      </c>
      <c r="P55" s="43" t="n">
        <v>80</v>
      </c>
      <c r="Q55" s="47" t="n"/>
      <c r="R55" s="51" t="n">
        <v>22</v>
      </c>
      <c r="S55" s="52" t="n">
        <v>80</v>
      </c>
      <c r="T55" s="53" t="n"/>
      <c r="U55" s="66" t="n">
        <v>25</v>
      </c>
      <c r="V55" s="67" t="n">
        <v>92</v>
      </c>
      <c r="W55" s="68" t="n"/>
      <c r="X55" s="54" t="n">
        <v>23</v>
      </c>
      <c r="Y55" s="55" t="n">
        <v>84</v>
      </c>
      <c r="Z55" s="56" t="n">
        <v>4</v>
      </c>
      <c r="AA55" s="54" t="n">
        <v>26</v>
      </c>
      <c r="AB55" s="55" t="n">
        <v>104</v>
      </c>
      <c r="AC55" s="56" t="n">
        <v>5</v>
      </c>
      <c r="AD55" s="54" t="n">
        <v>23</v>
      </c>
      <c r="AE55" s="55" t="n">
        <v>92</v>
      </c>
      <c r="AF55" s="56" t="n">
        <v>5</v>
      </c>
      <c r="AG55" s="57" t="n">
        <v>25</v>
      </c>
      <c r="AH55" s="58" t="n">
        <v>100</v>
      </c>
      <c r="AI55" s="45" t="n">
        <v>3</v>
      </c>
      <c r="AJ55" s="57" t="n">
        <v>23</v>
      </c>
      <c r="AK55" s="58" t="n">
        <v>76</v>
      </c>
      <c r="AL55" s="45" t="n">
        <v>1</v>
      </c>
      <c r="AM55" s="57" t="n">
        <v>22</v>
      </c>
      <c r="AN55" s="58" t="n">
        <v>84</v>
      </c>
      <c r="AO55" s="45" t="n">
        <v>3</v>
      </c>
      <c r="AP55" s="57" t="n">
        <v>25</v>
      </c>
      <c r="AQ55" s="72" t="n">
        <v>96</v>
      </c>
      <c r="AR55" s="73" t="n">
        <v>4</v>
      </c>
      <c r="AS55" s="37">
        <f>SUM(I55+L55+O55+R55+U55+X55+AA55+AD55+AG55+AJ55+AM55+AP55)</f>
        <v/>
      </c>
      <c r="AT55" s="38">
        <f>SUM(J55+M55+P55+S55+V55+Y55+AB55+AE55+AH55+AK55+AN55+AQ55)</f>
        <v/>
      </c>
      <c r="AU55" s="38">
        <f>SUM(K55+N55+Q55+T55+W55+Z55+AC55+AF55+AI55+AL55+AO55+AR55)</f>
        <v/>
      </c>
      <c r="AV55" s="85" t="inlineStr">
        <is>
          <t>OT SEWING</t>
        </is>
      </c>
    </row>
    <row r="56">
      <c r="A56" s="13" t="n">
        <v>52</v>
      </c>
      <c r="B56" s="241" t="inlineStr">
        <is>
          <t>น.ส.</t>
        </is>
      </c>
      <c r="C56" s="241" t="inlineStr">
        <is>
          <t>ประไพ</t>
        </is>
      </c>
      <c r="D56" s="64" t="inlineStr">
        <is>
          <t>ทั่งทอง</t>
        </is>
      </c>
      <c r="E56" s="99" t="inlineStr">
        <is>
          <t>348</t>
        </is>
      </c>
      <c r="F56" s="59" t="n">
        <v>237179</v>
      </c>
      <c r="G56" s="56" t="inlineStr">
        <is>
          <t>เย็บผ้า</t>
        </is>
      </c>
      <c r="H56" s="256" t="n"/>
      <c r="I56" s="19" t="n">
        <v>21</v>
      </c>
      <c r="J56" s="19" t="n">
        <v>4</v>
      </c>
      <c r="K56" s="60" t="n"/>
      <c r="L56" s="57" t="n">
        <v>20.5</v>
      </c>
      <c r="M56" s="58" t="n"/>
      <c r="N56" s="45" t="n"/>
      <c r="O56" s="25" t="n">
        <v>18</v>
      </c>
      <c r="P56" s="19" t="n"/>
      <c r="Q56" s="60" t="n"/>
      <c r="R56" s="51" t="n">
        <v>21</v>
      </c>
      <c r="S56" s="52" t="n"/>
      <c r="T56" s="53" t="n"/>
      <c r="U56" s="66" t="n">
        <v>20</v>
      </c>
      <c r="V56" s="67" t="n">
        <v>40</v>
      </c>
      <c r="W56" s="68" t="n"/>
      <c r="X56" s="54" t="n">
        <v>19.5</v>
      </c>
      <c r="Y56" s="55" t="n"/>
      <c r="Z56" s="56" t="n"/>
      <c r="AA56" s="54" t="n">
        <v>25</v>
      </c>
      <c r="AB56" s="55" t="n">
        <v>88</v>
      </c>
      <c r="AC56" s="56" t="n"/>
      <c r="AD56" s="54" t="n">
        <v>23</v>
      </c>
      <c r="AE56" s="55" t="n">
        <v>84</v>
      </c>
      <c r="AF56" s="56" t="n">
        <v>2</v>
      </c>
      <c r="AG56" s="57" t="n">
        <v>25.5</v>
      </c>
      <c r="AH56" s="58" t="n">
        <v>88</v>
      </c>
      <c r="AI56" s="45" t="n">
        <v>3</v>
      </c>
      <c r="AJ56" s="57" t="n">
        <v>20</v>
      </c>
      <c r="AK56" s="58" t="n">
        <v>55</v>
      </c>
      <c r="AL56" s="45" t="n"/>
      <c r="AM56" s="57" t="n">
        <v>24</v>
      </c>
      <c r="AN56" s="58" t="n">
        <v>84</v>
      </c>
      <c r="AO56" s="45" t="n"/>
      <c r="AP56" s="57" t="n">
        <v>23.5</v>
      </c>
      <c r="AQ56" s="72" t="n">
        <v>84</v>
      </c>
      <c r="AR56" s="73" t="n">
        <v>4</v>
      </c>
      <c r="AS56" s="37">
        <f>SUM(I56+L56+O56+R56+U56+X56+AA56+AD56+AG56+AJ56+AM56+AP56)</f>
        <v/>
      </c>
      <c r="AT56" s="38">
        <f>SUM(J56+M56+P56+S56+V56+Y56+AB56+AE56+AH56+AK56+AN56+AQ56)</f>
        <v/>
      </c>
      <c r="AU56" s="38">
        <f>SUM(K56+N56+Q56+T56+W56+Z56+AC56+AF56+AI56+AL56+AO56+AR56)</f>
        <v/>
      </c>
      <c r="AV56" s="85" t="inlineStr">
        <is>
          <t>OT SEWING</t>
        </is>
      </c>
    </row>
    <row r="57">
      <c r="A57" s="13" t="n">
        <v>53</v>
      </c>
      <c r="B57" s="241" t="inlineStr">
        <is>
          <t>นาย</t>
        </is>
      </c>
      <c r="C57" s="241" t="inlineStr">
        <is>
          <t>ประเสริฐ</t>
        </is>
      </c>
      <c r="D57" s="64" t="inlineStr">
        <is>
          <t>กลั่นเรือง</t>
        </is>
      </c>
      <c r="E57" s="65" t="inlineStr">
        <is>
          <t>465</t>
        </is>
      </c>
      <c r="F57" s="79" t="n">
        <v>239357</v>
      </c>
      <c r="G57" s="56" t="inlineStr">
        <is>
          <t>หัวหน้าแผนกเย็บผ้า</t>
        </is>
      </c>
      <c r="H57" s="256" t="n"/>
      <c r="I57" s="19" t="n">
        <v>25</v>
      </c>
      <c r="J57" s="19" t="n">
        <v>84</v>
      </c>
      <c r="K57" s="60" t="n"/>
      <c r="L57" s="57" t="n">
        <v>24</v>
      </c>
      <c r="M57" s="58" t="n">
        <v>96</v>
      </c>
      <c r="N57" s="45" t="n">
        <v>3</v>
      </c>
      <c r="O57" s="25" t="n">
        <v>23</v>
      </c>
      <c r="P57" s="76" t="n">
        <v>80</v>
      </c>
      <c r="Q57" s="77" t="n"/>
      <c r="R57" s="51" t="n">
        <v>20</v>
      </c>
      <c r="S57" s="52" t="n">
        <v>72</v>
      </c>
      <c r="T57" s="53" t="n"/>
      <c r="U57" s="66" t="n">
        <v>25</v>
      </c>
      <c r="V57" s="67" t="n">
        <v>96</v>
      </c>
      <c r="W57" s="68" t="n"/>
      <c r="X57" s="18" t="n">
        <v>24</v>
      </c>
      <c r="Y57" s="93" t="n">
        <v>96</v>
      </c>
      <c r="Z57" s="92" t="n">
        <v>2</v>
      </c>
      <c r="AA57" s="18" t="n">
        <v>26</v>
      </c>
      <c r="AB57" s="93" t="n">
        <v>104</v>
      </c>
      <c r="AC57" s="92" t="n">
        <v>3</v>
      </c>
      <c r="AD57" s="18" t="n">
        <v>18</v>
      </c>
      <c r="AE57" s="93" t="n">
        <v>72</v>
      </c>
      <c r="AF57" s="92" t="n">
        <v>3</v>
      </c>
      <c r="AG57" s="90" t="n">
        <v>26</v>
      </c>
      <c r="AH57" s="35" t="n">
        <v>102</v>
      </c>
      <c r="AI57" s="36" t="n">
        <v>3</v>
      </c>
      <c r="AJ57" s="90" t="n">
        <v>17.5</v>
      </c>
      <c r="AK57" s="35" t="n">
        <v>63</v>
      </c>
      <c r="AL57" s="36" t="n">
        <v>1</v>
      </c>
      <c r="AM57" s="90" t="n">
        <v>25</v>
      </c>
      <c r="AN57" s="35" t="n">
        <v>100</v>
      </c>
      <c r="AO57" s="36" t="n">
        <v>4</v>
      </c>
      <c r="AP57" s="90" t="n">
        <v>25</v>
      </c>
      <c r="AQ57" s="58" t="n">
        <v>96</v>
      </c>
      <c r="AR57" s="45" t="n">
        <v>4</v>
      </c>
      <c r="AS57" s="37">
        <f>SUM(I57+L57+O57+R57+U57+X57+AA57+AD57+AG57+AJ57+AM57+AP57)</f>
        <v/>
      </c>
      <c r="AT57" s="38">
        <f>SUM(J57+M57+P57+S57+V57+Y57+AB57+AE57+AH57+AK57+AN57+AQ57)</f>
        <v/>
      </c>
      <c r="AU57" s="38">
        <f>SUM(K57+N57+Q57+T57+W57+Z57+AC57+AF57+AI57+AL57+AO57+AR57)</f>
        <v/>
      </c>
      <c r="AV57" s="85" t="inlineStr">
        <is>
          <t>OT SEWING</t>
        </is>
      </c>
    </row>
    <row r="58">
      <c r="A58" s="13" t="n">
        <v>54</v>
      </c>
      <c r="B58" s="241" t="inlineStr">
        <is>
          <t>นาง</t>
        </is>
      </c>
      <c r="C58" s="241" t="inlineStr">
        <is>
          <t>ปาจารี</t>
        </is>
      </c>
      <c r="D58" s="14" t="inlineStr">
        <is>
          <t>สายะศิลปี</t>
        </is>
      </c>
      <c r="E58" s="65" t="inlineStr">
        <is>
          <t>348</t>
        </is>
      </c>
      <c r="F58" s="79" t="n">
        <v>243961</v>
      </c>
      <c r="G58" s="117" t="inlineStr">
        <is>
          <t>เย็บผ้า</t>
        </is>
      </c>
      <c r="H58" s="256" t="n"/>
      <c r="I58" s="19" t="n">
        <v>24.5</v>
      </c>
      <c r="J58" s="19" t="n">
        <v>88</v>
      </c>
      <c r="K58" s="60" t="n"/>
      <c r="L58" s="57" t="n">
        <v>24</v>
      </c>
      <c r="M58" s="58" t="n">
        <v>96</v>
      </c>
      <c r="N58" s="45" t="n">
        <v>4</v>
      </c>
      <c r="O58" s="25" t="n">
        <v>25</v>
      </c>
      <c r="P58" s="76" t="n">
        <v>84</v>
      </c>
      <c r="Q58" s="77" t="n"/>
      <c r="R58" s="51" t="n">
        <v>22</v>
      </c>
      <c r="S58" s="52" t="n">
        <v>76</v>
      </c>
      <c r="T58" s="53" t="n"/>
      <c r="U58" s="66" t="n">
        <v>22</v>
      </c>
      <c r="V58" s="67" t="n">
        <v>28</v>
      </c>
      <c r="W58" s="68" t="n"/>
      <c r="X58" s="18" t="n">
        <v>18</v>
      </c>
      <c r="Y58" s="93" t="n"/>
      <c r="Z58" s="92" t="n"/>
      <c r="AA58" s="18" t="n">
        <v>23.5</v>
      </c>
      <c r="AB58" s="93" t="n">
        <v>88</v>
      </c>
      <c r="AC58" s="92" t="n">
        <v>1</v>
      </c>
      <c r="AD58" s="18" t="n">
        <v>25</v>
      </c>
      <c r="AE58" s="93" t="n">
        <v>84</v>
      </c>
      <c r="AF58" s="92" t="n">
        <v>3</v>
      </c>
      <c r="AG58" s="90" t="n">
        <v>25</v>
      </c>
      <c r="AH58" s="35" t="n">
        <v>90</v>
      </c>
      <c r="AI58" s="36" t="n">
        <v>2</v>
      </c>
      <c r="AJ58" s="90" t="n">
        <v>24.5</v>
      </c>
      <c r="AK58" s="35" t="n">
        <v>87</v>
      </c>
      <c r="AL58" s="36" t="n">
        <v>1</v>
      </c>
      <c r="AM58" s="90" t="n">
        <v>22</v>
      </c>
      <c r="AN58" s="35" t="n">
        <v>84</v>
      </c>
      <c r="AO58" s="36" t="n">
        <v>2</v>
      </c>
      <c r="AP58" s="90" t="n">
        <v>24</v>
      </c>
      <c r="AQ58" s="35" t="n">
        <v>84</v>
      </c>
      <c r="AR58" s="36" t="n">
        <v>3</v>
      </c>
      <c r="AS58" s="37">
        <f>SUM(I58+L58+O58+R58+U58+X58+AA58+AD58+AG58+AJ58+AM58+AP58)</f>
        <v/>
      </c>
      <c r="AT58" s="38">
        <f>SUM(J58+M58+P58+S58+V58+Y58+AB58+AE58+AH58+AK58+AN58+AQ58)</f>
        <v/>
      </c>
      <c r="AU58" s="38">
        <f>SUM(K58+N58+Q58+T58+W58+Z58+AC58+AF58+AI58+AL58+AO58+AR58)</f>
        <v/>
      </c>
      <c r="AV58" s="85" t="inlineStr">
        <is>
          <t>OT SEWING</t>
        </is>
      </c>
    </row>
    <row r="59">
      <c r="A59" s="13" t="n">
        <v>55</v>
      </c>
      <c r="B59" s="241" t="inlineStr">
        <is>
          <t>น.ส.</t>
        </is>
      </c>
      <c r="C59" s="241" t="inlineStr">
        <is>
          <t>พิชิตา</t>
        </is>
      </c>
      <c r="D59" s="108" t="inlineStr">
        <is>
          <t>ทองดี</t>
        </is>
      </c>
      <c r="E59" s="75" t="inlineStr">
        <is>
          <t>348</t>
        </is>
      </c>
      <c r="F59" s="109" t="n">
        <v>241481</v>
      </c>
      <c r="G59" s="18" t="inlineStr">
        <is>
          <t>ทั่วไป</t>
        </is>
      </c>
      <c r="H59" s="256" t="n"/>
      <c r="I59" s="19" t="n">
        <v>25</v>
      </c>
      <c r="J59" s="19" t="n">
        <v>100</v>
      </c>
      <c r="K59" s="60" t="n"/>
      <c r="L59" s="57" t="n">
        <v>24</v>
      </c>
      <c r="M59" s="58" t="n">
        <v>92</v>
      </c>
      <c r="N59" s="45" t="n"/>
      <c r="O59" s="25" t="n">
        <v>22</v>
      </c>
      <c r="P59" s="76" t="n">
        <v>88</v>
      </c>
      <c r="Q59" s="77" t="n"/>
      <c r="R59" s="51" t="n">
        <v>20</v>
      </c>
      <c r="S59" s="52" t="n">
        <v>72</v>
      </c>
      <c r="T59" s="53" t="n"/>
      <c r="U59" s="66" t="n">
        <v>25</v>
      </c>
      <c r="V59" s="67" t="n">
        <v>92</v>
      </c>
      <c r="W59" s="68" t="n"/>
      <c r="X59" s="54" t="n">
        <v>20</v>
      </c>
      <c r="Y59" s="55" t="n">
        <v>76</v>
      </c>
      <c r="Z59" s="56" t="n"/>
      <c r="AA59" s="54" t="n">
        <v>26</v>
      </c>
      <c r="AB59" s="55" t="n">
        <v>100</v>
      </c>
      <c r="AC59" s="56" t="n"/>
      <c r="AD59" s="54" t="n">
        <v>25</v>
      </c>
      <c r="AE59" s="55" t="n">
        <v>96</v>
      </c>
      <c r="AF59" s="56" t="n"/>
      <c r="AG59" s="57" t="n">
        <v>25</v>
      </c>
      <c r="AH59" s="58" t="n">
        <v>100</v>
      </c>
      <c r="AI59" s="45" t="n"/>
      <c r="AJ59" s="57" t="n">
        <v>26</v>
      </c>
      <c r="AK59" s="58" t="n">
        <v>95</v>
      </c>
      <c r="AL59" s="45" t="n"/>
      <c r="AM59" s="57" t="n">
        <v>24.5</v>
      </c>
      <c r="AN59" s="58" t="n">
        <v>96</v>
      </c>
      <c r="AO59" s="45" t="n"/>
      <c r="AP59" s="57" t="n">
        <v>25</v>
      </c>
      <c r="AQ59" s="35" t="n">
        <v>96</v>
      </c>
      <c r="AR59" s="36" t="n"/>
      <c r="AS59" s="37">
        <f>SUM(I59+L59+O59+R59+U59+X59+AA59+AD59+AG59+AJ59+AM59+AP59)</f>
        <v/>
      </c>
      <c r="AT59" s="38">
        <f>SUM(J59+M59+P59+S59+V59+Y59+AB59+AE59+AH59+AK59+AN59+AQ59)</f>
        <v/>
      </c>
      <c r="AU59" s="38">
        <f>SUM(K59+N59+Q59+T59+W59+Z59+AC59+AF59+AI59+AL59+AO59+AR59)</f>
        <v/>
      </c>
      <c r="AV59" s="85" t="inlineStr">
        <is>
          <t>OT SEWING</t>
        </is>
      </c>
    </row>
    <row r="60">
      <c r="A60" s="13" t="n">
        <v>56</v>
      </c>
      <c r="B60" s="241" t="inlineStr">
        <is>
          <t>นาง</t>
        </is>
      </c>
      <c r="C60" s="241" t="inlineStr">
        <is>
          <t>พิม</t>
        </is>
      </c>
      <c r="D60" s="110" t="inlineStr">
        <is>
          <t>มามี</t>
        </is>
      </c>
      <c r="E60" s="95" t="n">
        <v>348</v>
      </c>
      <c r="F60" s="109" t="n">
        <v>241488</v>
      </c>
      <c r="G60" s="56" t="inlineStr">
        <is>
          <t>แม่บ้านโรงงาน+ทั่วไป</t>
        </is>
      </c>
      <c r="H60" s="256" t="n"/>
      <c r="I60" s="19" t="n">
        <v>24</v>
      </c>
      <c r="J60" s="19" t="n"/>
      <c r="K60" s="60" t="n"/>
      <c r="L60" s="57" t="n">
        <v>23</v>
      </c>
      <c r="M60" s="58" t="n"/>
      <c r="N60" s="45" t="n"/>
      <c r="O60" s="25" t="n">
        <v>26</v>
      </c>
      <c r="P60" s="19" t="n"/>
      <c r="Q60" s="60" t="n"/>
      <c r="R60" s="51" t="n">
        <v>23</v>
      </c>
      <c r="S60" s="52" t="n"/>
      <c r="T60" s="53" t="n"/>
      <c r="U60" s="66" t="n">
        <v>25</v>
      </c>
      <c r="V60" s="67" t="n"/>
      <c r="W60" s="68" t="n"/>
      <c r="X60" s="54" t="n">
        <v>22</v>
      </c>
      <c r="Y60" s="55" t="n"/>
      <c r="Z60" s="56" t="n"/>
      <c r="AA60" s="54" t="n">
        <v>26</v>
      </c>
      <c r="AB60" s="55" t="n"/>
      <c r="AC60" s="56" t="n"/>
      <c r="AD60" s="54" t="n">
        <v>24</v>
      </c>
      <c r="AE60" s="55" t="n"/>
      <c r="AF60" s="56" t="n"/>
      <c r="AG60" s="57" t="n">
        <v>26</v>
      </c>
      <c r="AH60" s="58" t="n"/>
      <c r="AI60" s="45" t="n"/>
      <c r="AJ60" s="57" t="n">
        <v>24</v>
      </c>
      <c r="AK60" s="58" t="n"/>
      <c r="AL60" s="45" t="n"/>
      <c r="AM60" s="57" t="n">
        <v>24</v>
      </c>
      <c r="AN60" s="58" t="n"/>
      <c r="AO60" s="45" t="n"/>
      <c r="AP60" s="57" t="n">
        <v>23</v>
      </c>
      <c r="AQ60" s="72" t="n"/>
      <c r="AR60" s="73" t="n"/>
      <c r="AS60" s="37">
        <f>SUM(I60+L60+O60+R60+U60+X60+AA60+AD60+AG60+AJ60+AM60+AP60)</f>
        <v/>
      </c>
      <c r="AT60" s="38">
        <f>SUM(J60+M60+P60+S60+V60+Y60+AB60+AE60+AH60+AK60+AN60+AQ60)</f>
        <v/>
      </c>
      <c r="AU60" s="38">
        <f>SUM(K60+N60+Q60+T60+W60+Z60+AC60+AF60+AI60+AL60+AO60+AR60)</f>
        <v/>
      </c>
      <c r="AV60" s="85" t="inlineStr">
        <is>
          <t>OT SEWING</t>
        </is>
      </c>
    </row>
    <row r="61">
      <c r="A61" s="13" t="n">
        <v>57</v>
      </c>
      <c r="B61" s="241" t="inlineStr">
        <is>
          <t>นาย</t>
        </is>
      </c>
      <c r="C61" s="241" t="inlineStr">
        <is>
          <t>ภูวนัส</t>
        </is>
      </c>
      <c r="D61" s="74" t="inlineStr">
        <is>
          <t>พานทอง</t>
        </is>
      </c>
      <c r="E61" s="75" t="inlineStr">
        <is>
          <t>348</t>
        </is>
      </c>
      <c r="F61" s="86" t="n">
        <v>240917</v>
      </c>
      <c r="G61" s="18" t="inlineStr">
        <is>
          <t>เย็บผ้า</t>
        </is>
      </c>
      <c r="H61" s="256" t="n"/>
      <c r="I61" s="19" t="n">
        <v>22.5</v>
      </c>
      <c r="J61" s="19" t="n">
        <v>80</v>
      </c>
      <c r="K61" s="60" t="n">
        <v>1</v>
      </c>
      <c r="L61" s="57" t="n">
        <v>24</v>
      </c>
      <c r="M61" s="58" t="n">
        <v>96</v>
      </c>
      <c r="N61" s="45" t="n"/>
      <c r="O61" s="25" t="n">
        <v>22</v>
      </c>
      <c r="P61" s="43" t="n">
        <v>64</v>
      </c>
      <c r="Q61" s="47" t="n"/>
      <c r="R61" s="51" t="n">
        <v>19</v>
      </c>
      <c r="S61" s="52" t="n">
        <v>44</v>
      </c>
      <c r="T61" s="53" t="n"/>
      <c r="U61" s="66" t="n">
        <v>26</v>
      </c>
      <c r="V61" s="67" t="n">
        <v>100</v>
      </c>
      <c r="W61" s="68" t="n"/>
      <c r="X61" s="18" t="n">
        <v>23.5</v>
      </c>
      <c r="Y61" s="93" t="n">
        <v>88</v>
      </c>
      <c r="Z61" s="92" t="n"/>
      <c r="AA61" s="18" t="n">
        <v>26</v>
      </c>
      <c r="AB61" s="93" t="n">
        <v>104</v>
      </c>
      <c r="AC61" s="92" t="n">
        <v>1</v>
      </c>
      <c r="AD61" s="18" t="n">
        <v>24</v>
      </c>
      <c r="AE61" s="93" t="n">
        <v>84</v>
      </c>
      <c r="AF61" s="92" t="n"/>
      <c r="AG61" s="90" t="n">
        <v>26</v>
      </c>
      <c r="AH61" s="35" t="n">
        <v>106</v>
      </c>
      <c r="AI61" s="36" t="n"/>
      <c r="AJ61" s="90" t="n">
        <v>26</v>
      </c>
      <c r="AK61" s="35" t="n">
        <v>103</v>
      </c>
      <c r="AL61" s="36" t="n">
        <v>1</v>
      </c>
      <c r="AM61" s="90" t="n">
        <v>19.5</v>
      </c>
      <c r="AN61" s="35" t="n">
        <v>32</v>
      </c>
      <c r="AO61" s="36" t="n"/>
      <c r="AP61" s="90" t="n">
        <v>23</v>
      </c>
      <c r="AQ61" s="58" t="n">
        <v>36</v>
      </c>
      <c r="AR61" s="45" t="n"/>
      <c r="AS61" s="37">
        <f>SUM(I61+L61+O61+R61+U61+X61+AA61+AD61+AG61+AJ61+AM61+AP61)</f>
        <v/>
      </c>
      <c r="AT61" s="38">
        <f>SUM(J61+M61+P61+S61+V61+Y61+AB61+AE61+AH61+AK61+AN61+AQ61)</f>
        <v/>
      </c>
      <c r="AU61" s="38">
        <f>SUM(K61+N61+Q61+T61+W61+Z61+AC61+AF61+AI61+AL61+AO61+AR61)</f>
        <v/>
      </c>
      <c r="AV61" s="85" t="inlineStr">
        <is>
          <t>OT SEWING</t>
        </is>
      </c>
    </row>
    <row r="62">
      <c r="A62" s="13" t="n">
        <v>58</v>
      </c>
      <c r="B62" s="241" t="inlineStr">
        <is>
          <t>น.ส.</t>
        </is>
      </c>
      <c r="C62" s="241" t="inlineStr">
        <is>
          <t>มณเฑียร</t>
        </is>
      </c>
      <c r="D62" s="64" t="inlineStr">
        <is>
          <t>เข็มเงิน</t>
        </is>
      </c>
      <c r="E62" s="111" t="n">
        <v>353</v>
      </c>
      <c r="F62" s="41" t="n">
        <v>235705</v>
      </c>
      <c r="G62" s="56" t="inlineStr">
        <is>
          <t>เย็บผ้า</t>
        </is>
      </c>
      <c r="H62" s="256" t="n"/>
      <c r="I62" s="19" t="n">
        <v>24</v>
      </c>
      <c r="J62" s="19" t="n">
        <v>96</v>
      </c>
      <c r="K62" s="60" t="n">
        <v>1</v>
      </c>
      <c r="L62" s="57" t="n">
        <v>24</v>
      </c>
      <c r="M62" s="58" t="n">
        <v>96</v>
      </c>
      <c r="N62" s="45" t="n">
        <v>4</v>
      </c>
      <c r="O62" s="25" t="n">
        <v>26</v>
      </c>
      <c r="P62" s="19" t="n">
        <v>100</v>
      </c>
      <c r="Q62" s="60" t="n"/>
      <c r="R62" s="51" t="n">
        <v>22</v>
      </c>
      <c r="S62" s="52" t="n">
        <v>84</v>
      </c>
      <c r="T62" s="53" t="n"/>
      <c r="U62" s="66" t="n">
        <v>26</v>
      </c>
      <c r="V62" s="67" t="n">
        <v>104.5</v>
      </c>
      <c r="W62" s="68" t="n"/>
      <c r="X62" s="54" t="n">
        <v>24</v>
      </c>
      <c r="Y62" s="55" t="n">
        <v>96.5</v>
      </c>
      <c r="Z62" s="56" t="n">
        <v>1</v>
      </c>
      <c r="AA62" s="54" t="n">
        <v>26</v>
      </c>
      <c r="AB62" s="55" t="n">
        <v>104</v>
      </c>
      <c r="AC62" s="56" t="n">
        <v>5</v>
      </c>
      <c r="AD62" s="54" t="n">
        <v>25</v>
      </c>
      <c r="AE62" s="55" t="n">
        <v>100</v>
      </c>
      <c r="AF62" s="56" t="n">
        <v>6</v>
      </c>
      <c r="AG62" s="57" t="n">
        <v>26</v>
      </c>
      <c r="AH62" s="58" t="n">
        <v>104</v>
      </c>
      <c r="AI62" s="45" t="n">
        <v>3</v>
      </c>
      <c r="AJ62" s="57" t="n">
        <v>26</v>
      </c>
      <c r="AK62" s="58" t="n">
        <v>103</v>
      </c>
      <c r="AL62" s="45" t="n">
        <v>4</v>
      </c>
      <c r="AM62" s="57" t="n">
        <v>25</v>
      </c>
      <c r="AN62" s="58" t="n">
        <v>100</v>
      </c>
      <c r="AO62" s="45" t="n">
        <v>5</v>
      </c>
      <c r="AP62" s="57" t="n">
        <v>25</v>
      </c>
      <c r="AQ62" s="35" t="n">
        <v>96</v>
      </c>
      <c r="AR62" s="36" t="n">
        <v>4</v>
      </c>
      <c r="AS62" s="37">
        <f>SUM(I62+L62+O62+R62+U62+X62+AA62+AD62+AG62+AJ62+AM62+AP62)</f>
        <v/>
      </c>
      <c r="AT62" s="38">
        <f>SUM(J62+M62+P62+S62+V62+Y62+AB62+AE62+AH62+AK62+AN62+AQ62)</f>
        <v/>
      </c>
      <c r="AU62" s="38">
        <f>SUM(K62+N62+Q62+T62+W62+Z62+AC62+AF62+AI62+AL62+AO62+AR62)</f>
        <v/>
      </c>
      <c r="AV62" s="85" t="inlineStr">
        <is>
          <t>OT SEWING</t>
        </is>
      </c>
    </row>
    <row r="63">
      <c r="A63" s="13" t="n">
        <v>59</v>
      </c>
      <c r="B63" s="241" t="inlineStr">
        <is>
          <t>นาง</t>
        </is>
      </c>
      <c r="C63" s="241" t="inlineStr">
        <is>
          <t>รุ่งนภา</t>
        </is>
      </c>
      <c r="D63" s="64" t="inlineStr">
        <is>
          <t>เปี่ยมศิลป์</t>
        </is>
      </c>
      <c r="E63" s="111" t="n">
        <v>348</v>
      </c>
      <c r="F63" s="59" t="n">
        <v>242303</v>
      </c>
      <c r="G63" s="18" t="inlineStr">
        <is>
          <t>เย็บผ้า</t>
        </is>
      </c>
      <c r="H63" s="256" t="n"/>
      <c r="I63" s="19" t="n">
        <v>23</v>
      </c>
      <c r="J63" s="19" t="n">
        <v>84</v>
      </c>
      <c r="K63" s="60" t="n"/>
      <c r="L63" s="57" t="n">
        <v>21</v>
      </c>
      <c r="M63" s="58" t="n">
        <v>80</v>
      </c>
      <c r="N63" s="45" t="n"/>
      <c r="O63" s="25" t="n">
        <v>23</v>
      </c>
      <c r="P63" s="19" t="n">
        <v>48</v>
      </c>
      <c r="Q63" s="60" t="n"/>
      <c r="R63" s="51" t="n">
        <v>20</v>
      </c>
      <c r="S63" s="52" t="n"/>
      <c r="T63" s="53" t="n"/>
      <c r="U63" s="66" t="n">
        <v>25</v>
      </c>
      <c r="V63" s="67" t="n">
        <v>88.5</v>
      </c>
      <c r="W63" s="68" t="n"/>
      <c r="X63" s="18" t="n">
        <v>19</v>
      </c>
      <c r="Y63" s="93" t="n">
        <v>64</v>
      </c>
      <c r="Z63" s="92" t="n"/>
      <c r="AA63" s="18" t="n">
        <v>26</v>
      </c>
      <c r="AB63" s="93" t="n">
        <v>88</v>
      </c>
      <c r="AC63" s="92" t="n"/>
      <c r="AD63" s="18" t="n">
        <v>24</v>
      </c>
      <c r="AE63" s="93" t="n">
        <v>84</v>
      </c>
      <c r="AF63" s="92" t="n"/>
      <c r="AG63" s="90" t="n">
        <v>25</v>
      </c>
      <c r="AH63" s="35" t="n">
        <v>90</v>
      </c>
      <c r="AI63" s="36" t="n">
        <v>1</v>
      </c>
      <c r="AJ63" s="90" t="n">
        <v>24.5</v>
      </c>
      <c r="AK63" s="35" t="n">
        <v>87</v>
      </c>
      <c r="AL63" s="36" t="n"/>
      <c r="AM63" s="90" t="n">
        <v>23.5</v>
      </c>
      <c r="AN63" s="35" t="n">
        <v>76</v>
      </c>
      <c r="AO63" s="36" t="n"/>
      <c r="AP63" s="90" t="n">
        <v>25</v>
      </c>
      <c r="AQ63" s="72" t="n"/>
      <c r="AR63" s="73" t="n"/>
      <c r="AS63" s="37">
        <f>SUM(I63+L63+O63+R63+U63+X63+AA63+AD63+AG63+AJ63+AM63+AP63)</f>
        <v/>
      </c>
      <c r="AT63" s="38">
        <f>SUM(J63+M63+P63+S63+V63+Y63+AB63+AE63+AH63+AK63+AN63+AQ63)</f>
        <v/>
      </c>
      <c r="AU63" s="38">
        <f>SUM(K63+N63+Q63+T63+W63+Z63+AC63+AF63+AI63+AL63+AO63+AR63)</f>
        <v/>
      </c>
      <c r="AV63" s="85" t="inlineStr">
        <is>
          <t>OT SEWING</t>
        </is>
      </c>
    </row>
    <row r="64">
      <c r="A64" s="13" t="n">
        <v>60</v>
      </c>
      <c r="B64" s="241" t="inlineStr">
        <is>
          <t>นาง</t>
        </is>
      </c>
      <c r="C64" s="241" t="inlineStr">
        <is>
          <t>ลัดดา</t>
        </is>
      </c>
      <c r="D64" s="64" t="inlineStr">
        <is>
          <t>นาคสังข์</t>
        </is>
      </c>
      <c r="E64" s="91" t="n">
        <v>348</v>
      </c>
      <c r="F64" s="59" t="n">
        <v>240917</v>
      </c>
      <c r="G64" s="85" t="inlineStr">
        <is>
          <t>เย็บผ้า</t>
        </is>
      </c>
      <c r="H64" s="256" t="n"/>
      <c r="I64" s="19" t="n">
        <v>25</v>
      </c>
      <c r="J64" s="19" t="n">
        <v>96</v>
      </c>
      <c r="K64" s="60" t="n">
        <v>1</v>
      </c>
      <c r="L64" s="57" t="n">
        <v>24</v>
      </c>
      <c r="M64" s="58" t="n">
        <v>96</v>
      </c>
      <c r="N64" s="45" t="n">
        <v>3</v>
      </c>
      <c r="O64" s="25" t="n">
        <v>25</v>
      </c>
      <c r="P64" s="43" t="n">
        <v>92</v>
      </c>
      <c r="Q64" s="47" t="n"/>
      <c r="R64" s="51" t="n">
        <v>20.5</v>
      </c>
      <c r="S64" s="52" t="n">
        <v>76</v>
      </c>
      <c r="T64" s="53" t="n"/>
      <c r="U64" s="66" t="n">
        <v>26</v>
      </c>
      <c r="V64" s="67" t="n">
        <v>104.5</v>
      </c>
      <c r="W64" s="68" t="n"/>
      <c r="X64" s="54" t="n">
        <v>21.5</v>
      </c>
      <c r="Y64" s="55" t="n">
        <v>84.5</v>
      </c>
      <c r="Z64" s="56" t="n">
        <v>1</v>
      </c>
      <c r="AA64" s="54" t="n">
        <v>26</v>
      </c>
      <c r="AB64" s="55" t="n">
        <v>104</v>
      </c>
      <c r="AC64" s="56" t="n">
        <v>5</v>
      </c>
      <c r="AD64" s="54" t="n">
        <v>25</v>
      </c>
      <c r="AE64" s="55" t="n">
        <v>100</v>
      </c>
      <c r="AF64" s="56" t="n">
        <v>6</v>
      </c>
      <c r="AG64" s="57" t="n">
        <v>26</v>
      </c>
      <c r="AH64" s="58" t="n">
        <v>104</v>
      </c>
      <c r="AI64" s="45" t="n">
        <v>3</v>
      </c>
      <c r="AJ64" s="57" t="n">
        <v>26</v>
      </c>
      <c r="AK64" s="58" t="n">
        <v>103</v>
      </c>
      <c r="AL64" s="45" t="n">
        <v>3</v>
      </c>
      <c r="AM64" s="57" t="n">
        <v>25</v>
      </c>
      <c r="AN64" s="58" t="n">
        <v>100</v>
      </c>
      <c r="AO64" s="45" t="n">
        <v>4</v>
      </c>
      <c r="AP64" s="57" t="n">
        <v>25</v>
      </c>
      <c r="AQ64" s="72" t="n">
        <v>96</v>
      </c>
      <c r="AR64" s="73" t="n">
        <v>4</v>
      </c>
      <c r="AS64" s="37">
        <f>SUM(I64+L64+O64+R64+U64+X64+AA64+AD64+AG64+AJ64+AM64+AP64)</f>
        <v/>
      </c>
      <c r="AT64" s="38">
        <f>SUM(J64+M64+P64+S64+V64+Y64+AB64+AE64+AH64+AK64+AN64+AQ64)</f>
        <v/>
      </c>
      <c r="AU64" s="38">
        <f>SUM(K64+N64+Q64+T64+W64+Z64+AC64+AF64+AI64+AL64+AO64+AR64)</f>
        <v/>
      </c>
      <c r="AV64" s="85" t="inlineStr">
        <is>
          <t>OT SEWING</t>
        </is>
      </c>
    </row>
    <row r="65">
      <c r="A65" s="13" t="n">
        <v>61</v>
      </c>
      <c r="B65" s="241" t="inlineStr">
        <is>
          <t>นาง</t>
        </is>
      </c>
      <c r="C65" s="241" t="inlineStr">
        <is>
          <t>ลาคร</t>
        </is>
      </c>
      <c r="D65" s="64" t="inlineStr">
        <is>
          <t>ทองดี</t>
        </is>
      </c>
      <c r="E65" s="94" t="n">
        <v>582</v>
      </c>
      <c r="F65" s="59" t="n">
        <v>236130</v>
      </c>
      <c r="G65" s="56" t="inlineStr">
        <is>
          <t>หัวหน้าแผนกเย็บผ้า</t>
        </is>
      </c>
      <c r="H65" s="256" t="n"/>
      <c r="I65" s="19" t="n">
        <v>25</v>
      </c>
      <c r="J65" s="19" t="n">
        <v>100</v>
      </c>
      <c r="K65" s="60" t="n">
        <v>1</v>
      </c>
      <c r="L65" s="57" t="n">
        <v>24</v>
      </c>
      <c r="M65" s="58" t="n">
        <v>96</v>
      </c>
      <c r="N65" s="45" t="n">
        <v>4</v>
      </c>
      <c r="O65" s="25" t="n">
        <v>24</v>
      </c>
      <c r="P65" s="76" t="n">
        <v>88</v>
      </c>
      <c r="Q65" s="77" t="n"/>
      <c r="R65" s="51" t="n">
        <v>20</v>
      </c>
      <c r="S65" s="52" t="n">
        <v>76</v>
      </c>
      <c r="T65" s="53" t="n"/>
      <c r="U65" s="66" t="n">
        <v>25</v>
      </c>
      <c r="V65" s="67" t="n">
        <v>100.5</v>
      </c>
      <c r="W65" s="68" t="n"/>
      <c r="X65" s="18" t="n">
        <v>22</v>
      </c>
      <c r="Y65" s="93" t="n">
        <v>91.5</v>
      </c>
      <c r="Z65" s="92" t="n">
        <v>4</v>
      </c>
      <c r="AA65" s="18" t="n">
        <v>26</v>
      </c>
      <c r="AB65" s="93" t="n">
        <v>104</v>
      </c>
      <c r="AC65" s="92" t="n">
        <v>5</v>
      </c>
      <c r="AD65" s="18" t="n">
        <v>25</v>
      </c>
      <c r="AE65" s="93" t="n">
        <v>101</v>
      </c>
      <c r="AF65" s="92" t="n">
        <v>5</v>
      </c>
      <c r="AG65" s="90" t="n">
        <v>25</v>
      </c>
      <c r="AH65" s="35" t="n">
        <v>102</v>
      </c>
      <c r="AI65" s="36" t="n">
        <v>3</v>
      </c>
      <c r="AJ65" s="90" t="n">
        <v>26</v>
      </c>
      <c r="AK65" s="35" t="n">
        <v>104</v>
      </c>
      <c r="AL65" s="36" t="n">
        <v>4</v>
      </c>
      <c r="AM65" s="90" t="n">
        <v>25</v>
      </c>
      <c r="AN65" s="35" t="n">
        <v>100</v>
      </c>
      <c r="AO65" s="36" t="n">
        <v>5</v>
      </c>
      <c r="AP65" s="90" t="n">
        <v>25</v>
      </c>
      <c r="AQ65" s="58" t="n">
        <v>97</v>
      </c>
      <c r="AR65" s="45" t="n">
        <v>4</v>
      </c>
      <c r="AS65" s="37">
        <f>SUM(I65+L65+O65+R65+U65+X65+AA65+AD65+AG65+AJ65+AM65+AP65)</f>
        <v/>
      </c>
      <c r="AT65" s="38">
        <f>SUM(J65+M65+P65+S65+V65+Y65+AB65+AE65+AH65+AK65+AN65+AQ65)</f>
        <v/>
      </c>
      <c r="AU65" s="38">
        <f>SUM(K65+N65+Q65+T65+W65+Z65+AC65+AF65+AI65+AL65+AO65+AR65)</f>
        <v/>
      </c>
      <c r="AV65" s="85" t="inlineStr">
        <is>
          <t>OT SEWING</t>
        </is>
      </c>
    </row>
    <row r="66">
      <c r="A66" s="13" t="n">
        <v>62</v>
      </c>
      <c r="B66" s="241" t="inlineStr">
        <is>
          <t>นาย</t>
        </is>
      </c>
      <c r="C66" s="241" t="inlineStr">
        <is>
          <t>วสันต์</t>
        </is>
      </c>
      <c r="D66" s="64" t="inlineStr">
        <is>
          <t>ทองดี</t>
        </is>
      </c>
      <c r="E66" s="94" t="n">
        <v>582</v>
      </c>
      <c r="F66" s="41" t="n">
        <v>236130</v>
      </c>
      <c r="G66" s="32" t="inlineStr">
        <is>
          <t>หัวหน้าแผนก</t>
        </is>
      </c>
      <c r="H66" s="256" t="n"/>
      <c r="I66" s="19" t="n">
        <v>25</v>
      </c>
      <c r="J66" s="19" t="n">
        <v>100</v>
      </c>
      <c r="K66" s="60" t="n">
        <v>1</v>
      </c>
      <c r="L66" s="57" t="n">
        <v>24</v>
      </c>
      <c r="M66" s="58" t="n">
        <v>96</v>
      </c>
      <c r="N66" s="45" t="n">
        <v>4</v>
      </c>
      <c r="O66" s="25" t="n">
        <v>24</v>
      </c>
      <c r="P66" s="112" t="n">
        <v>96</v>
      </c>
      <c r="Q66" s="60" t="n"/>
      <c r="R66" s="51" t="n">
        <v>20</v>
      </c>
      <c r="S66" s="52" t="n">
        <v>76</v>
      </c>
      <c r="T66" s="53" t="n"/>
      <c r="U66" s="66" t="n">
        <v>25</v>
      </c>
      <c r="V66" s="67" t="n">
        <v>100</v>
      </c>
      <c r="W66" s="68" t="n"/>
      <c r="X66" s="54" t="n">
        <v>23</v>
      </c>
      <c r="Y66" s="55" t="n">
        <v>92</v>
      </c>
      <c r="Z66" s="56" t="n">
        <v>4</v>
      </c>
      <c r="AA66" s="54" t="n">
        <v>26</v>
      </c>
      <c r="AB66" s="55" t="n">
        <v>100</v>
      </c>
      <c r="AC66" s="56" t="n">
        <v>4</v>
      </c>
      <c r="AD66" s="54" t="n">
        <v>22.5</v>
      </c>
      <c r="AE66" s="55" t="n">
        <v>84</v>
      </c>
      <c r="AF66" s="56" t="n">
        <v>6</v>
      </c>
      <c r="AG66" s="57" t="n">
        <v>25</v>
      </c>
      <c r="AH66" s="58" t="n">
        <v>102</v>
      </c>
      <c r="AI66" s="45" t="n">
        <v>3</v>
      </c>
      <c r="AJ66" s="57" t="n">
        <v>25</v>
      </c>
      <c r="AK66" s="58" t="n">
        <v>100.5</v>
      </c>
      <c r="AL66" s="45" t="n">
        <v>4</v>
      </c>
      <c r="AM66" s="57" t="n">
        <v>25</v>
      </c>
      <c r="AN66" s="58" t="n">
        <v>100</v>
      </c>
      <c r="AO66" s="45" t="n">
        <v>5</v>
      </c>
      <c r="AP66" s="57" t="n">
        <v>25</v>
      </c>
      <c r="AQ66" s="58" t="n">
        <v>99</v>
      </c>
      <c r="AR66" s="45" t="n">
        <v>4</v>
      </c>
      <c r="AS66" s="37">
        <f>SUM(I66+L66+O66+R66+U66+X66+AA66+AD66+AG66+AJ66+AM66+AP66)</f>
        <v/>
      </c>
      <c r="AT66" s="38">
        <f>SUM(J66+M66+P66+S66+V66+Y66+AB66+AE66+AH66+AK66+AN66+AQ66)</f>
        <v/>
      </c>
      <c r="AU66" s="38">
        <f>SUM(K66+N66+Q66+T66+W66+Z66+AC66+AF66+AI66+AL66+AO66+AR66)</f>
        <v/>
      </c>
      <c r="AV66" s="85" t="inlineStr">
        <is>
          <t>OT SEWING</t>
        </is>
      </c>
    </row>
    <row r="67">
      <c r="A67" s="13" t="n">
        <v>63</v>
      </c>
      <c r="B67" s="241" t="inlineStr">
        <is>
          <t>นาง</t>
        </is>
      </c>
      <c r="C67" s="241" t="inlineStr">
        <is>
          <t>แวว</t>
        </is>
      </c>
      <c r="D67" s="64" t="inlineStr">
        <is>
          <t>มิ่งสกุล</t>
        </is>
      </c>
      <c r="E67" s="91" t="n">
        <v>348</v>
      </c>
      <c r="F67" s="59" t="n">
        <v>240344</v>
      </c>
      <c r="G67" s="56" t="inlineStr">
        <is>
          <t>เย็บผ้า</t>
        </is>
      </c>
      <c r="H67" s="256" t="n"/>
      <c r="I67" s="19" t="n">
        <v>25</v>
      </c>
      <c r="J67" s="19" t="n">
        <v>92</v>
      </c>
      <c r="K67" s="60" t="n">
        <v>1</v>
      </c>
      <c r="L67" s="57" t="n">
        <v>24</v>
      </c>
      <c r="M67" s="58" t="n">
        <v>96</v>
      </c>
      <c r="N67" s="45" t="n">
        <v>4</v>
      </c>
      <c r="O67" s="25" t="n">
        <v>24.5</v>
      </c>
      <c r="P67" s="19" t="n">
        <v>75</v>
      </c>
      <c r="Q67" s="60" t="n"/>
      <c r="R67" s="51" t="n">
        <v>21</v>
      </c>
      <c r="S67" s="52" t="n">
        <v>64</v>
      </c>
      <c r="T67" s="53" t="n"/>
      <c r="U67" s="66" t="n">
        <v>24</v>
      </c>
      <c r="V67" s="67" t="n">
        <v>92</v>
      </c>
      <c r="W67" s="68" t="n"/>
      <c r="X67" s="54" t="n">
        <v>23</v>
      </c>
      <c r="Y67" s="55" t="n">
        <v>92</v>
      </c>
      <c r="Z67" s="56" t="n">
        <v>3</v>
      </c>
      <c r="AA67" s="54" t="n">
        <v>26</v>
      </c>
      <c r="AB67" s="55" t="n">
        <v>104</v>
      </c>
      <c r="AC67" s="56" t="n">
        <v>5</v>
      </c>
      <c r="AD67" s="54" t="n">
        <v>25</v>
      </c>
      <c r="AE67" s="55" t="n">
        <v>100</v>
      </c>
      <c r="AF67" s="56" t="n">
        <v>6</v>
      </c>
      <c r="AG67" s="57" t="n">
        <v>26</v>
      </c>
      <c r="AH67" s="58" t="n">
        <v>100</v>
      </c>
      <c r="AI67" s="45" t="n">
        <v>3</v>
      </c>
      <c r="AJ67" s="57" t="n">
        <v>25</v>
      </c>
      <c r="AK67" s="58" t="n">
        <v>99</v>
      </c>
      <c r="AL67" s="45" t="n">
        <v>4</v>
      </c>
      <c r="AM67" s="57" t="n">
        <v>24.5</v>
      </c>
      <c r="AN67" s="58" t="n">
        <v>92</v>
      </c>
      <c r="AO67" s="45" t="n">
        <v>5</v>
      </c>
      <c r="AP67" s="57" t="n">
        <v>25</v>
      </c>
      <c r="AQ67" s="72" t="n">
        <v>96</v>
      </c>
      <c r="AR67" s="73" t="n">
        <v>4</v>
      </c>
      <c r="AS67" s="37">
        <f>SUM(I67+L67+O67+R67+U67+X67+AA67+AD67+AG67+AJ67+AM67+AP67)</f>
        <v/>
      </c>
      <c r="AT67" s="38">
        <f>SUM(J67+M67+P67+S67+V67+Y67+AB67+AE67+AH67+AK67+AN67+AQ67)</f>
        <v/>
      </c>
      <c r="AU67" s="38">
        <f>SUM(K67+N67+Q67+T67+W67+Z67+AC67+AF67+AI67+AL67+AO67+AR67)</f>
        <v/>
      </c>
      <c r="AV67" s="85" t="inlineStr">
        <is>
          <t>OT SEWING</t>
        </is>
      </c>
    </row>
    <row r="68">
      <c r="A68" s="13" t="n">
        <v>64</v>
      </c>
      <c r="B68" s="241" t="inlineStr">
        <is>
          <t>นาย</t>
        </is>
      </c>
      <c r="C68" s="241" t="inlineStr">
        <is>
          <t>ศักดิ์</t>
        </is>
      </c>
      <c r="D68" s="74" t="inlineStr">
        <is>
          <t>นาคสังข์</t>
        </is>
      </c>
      <c r="E68" s="94" t="n">
        <v>367</v>
      </c>
      <c r="F68" s="59" t="n">
        <v>238019</v>
      </c>
      <c r="G68" s="56" t="inlineStr">
        <is>
          <t>เย็บผ้า</t>
        </is>
      </c>
      <c r="H68" s="171" t="n"/>
      <c r="I68" s="19" t="n">
        <v>23</v>
      </c>
      <c r="J68" s="19" t="n">
        <v>88</v>
      </c>
      <c r="K68" s="60" t="n"/>
      <c r="L68" s="57" t="n">
        <v>22</v>
      </c>
      <c r="M68" s="58" t="n">
        <v>84</v>
      </c>
      <c r="N68" s="45" t="n"/>
      <c r="O68" s="25" t="n">
        <v>25</v>
      </c>
      <c r="P68" s="19" t="n">
        <v>92</v>
      </c>
      <c r="Q68" s="60" t="n"/>
      <c r="R68" s="51" t="n">
        <v>23</v>
      </c>
      <c r="S68" s="52" t="n">
        <v>84</v>
      </c>
      <c r="T68" s="53" t="n"/>
      <c r="U68" s="66" t="n">
        <v>24</v>
      </c>
      <c r="V68" s="67" t="n">
        <v>96</v>
      </c>
      <c r="W68" s="68" t="n"/>
      <c r="X68" s="54" t="n">
        <v>24</v>
      </c>
      <c r="Y68" s="55" t="n">
        <v>88</v>
      </c>
      <c r="Z68" s="56" t="n"/>
      <c r="AA68" s="54" t="n">
        <v>24</v>
      </c>
      <c r="AB68" s="55" t="n">
        <v>96</v>
      </c>
      <c r="AC68" s="56" t="n">
        <v>1</v>
      </c>
      <c r="AD68" s="54" t="n">
        <v>25</v>
      </c>
      <c r="AE68" s="55" t="n">
        <v>100</v>
      </c>
      <c r="AF68" s="56" t="n"/>
      <c r="AG68" s="57" t="n">
        <v>25.5</v>
      </c>
      <c r="AH68" s="58" t="n">
        <v>102</v>
      </c>
      <c r="AI68" s="45" t="n">
        <v>2</v>
      </c>
      <c r="AJ68" s="57" t="n">
        <v>26</v>
      </c>
      <c r="AK68" s="58" t="n">
        <v>103</v>
      </c>
      <c r="AL68" s="45" t="n">
        <v>4</v>
      </c>
      <c r="AM68" s="57" t="n">
        <v>25</v>
      </c>
      <c r="AN68" s="58" t="n">
        <v>100</v>
      </c>
      <c r="AO68" s="45" t="n">
        <v>5</v>
      </c>
      <c r="AP68" s="57" t="n">
        <v>24</v>
      </c>
      <c r="AQ68" s="58" t="n">
        <v>88</v>
      </c>
      <c r="AR68" s="45" t="n">
        <v>2</v>
      </c>
      <c r="AS68" s="37">
        <f>SUM(I68+L68+O68+R68+U68+X68+AA68+AD68+AG68+AJ68+AM68+AP68)</f>
        <v/>
      </c>
      <c r="AT68" s="38">
        <f>SUM(J68+M68+P68+S68+V68+Y68+AB68+AE68+AH68+AK68+AN68+AQ68)</f>
        <v/>
      </c>
      <c r="AU68" s="38">
        <f>SUM(K68+N68+Q68+T68+W68+Z68+AC68+AF68+AI68+AL68+AO68+AR68)</f>
        <v/>
      </c>
      <c r="AV68" s="85" t="inlineStr">
        <is>
          <t>OT SEWING</t>
        </is>
      </c>
    </row>
    <row r="69">
      <c r="A69" s="13" t="n">
        <v>65</v>
      </c>
      <c r="B69" s="241" t="inlineStr">
        <is>
          <t>นาง</t>
        </is>
      </c>
      <c r="C69" s="241" t="inlineStr">
        <is>
          <t>ศิรินาถ</t>
        </is>
      </c>
      <c r="D69" s="74" t="inlineStr">
        <is>
          <t>พลนิล</t>
        </is>
      </c>
      <c r="E69" s="111" t="n">
        <v>348</v>
      </c>
      <c r="F69" s="79" t="n">
        <v>236264</v>
      </c>
      <c r="G69" s="32" t="inlineStr">
        <is>
          <t>เย็บผ้า</t>
        </is>
      </c>
      <c r="H69" s="171" t="n"/>
      <c r="I69" s="19" t="n">
        <v>25</v>
      </c>
      <c r="J69" s="19" t="n">
        <v>92</v>
      </c>
      <c r="K69" s="60" t="n"/>
      <c r="L69" s="57" t="n">
        <v>21.5</v>
      </c>
      <c r="M69" s="58" t="n">
        <v>80</v>
      </c>
      <c r="N69" s="45" t="n">
        <v>3</v>
      </c>
      <c r="O69" s="25" t="n">
        <v>23.5</v>
      </c>
      <c r="P69" s="43" t="n">
        <v>64</v>
      </c>
      <c r="Q69" s="47" t="n"/>
      <c r="R69" s="51" t="n">
        <v>18</v>
      </c>
      <c r="S69" s="52" t="n">
        <v>52</v>
      </c>
      <c r="T69" s="53" t="n"/>
      <c r="U69" s="66" t="n">
        <v>24</v>
      </c>
      <c r="V69" s="67" t="n">
        <v>88</v>
      </c>
      <c r="W69" s="68" t="n"/>
      <c r="X69" s="18" t="n">
        <v>24</v>
      </c>
      <c r="Y69" s="93" t="n">
        <v>88</v>
      </c>
      <c r="Z69" s="92" t="n">
        <v>3</v>
      </c>
      <c r="AA69" s="54" t="n">
        <v>25.5</v>
      </c>
      <c r="AB69" s="55" t="n">
        <v>100</v>
      </c>
      <c r="AC69" s="56" t="n">
        <v>5</v>
      </c>
      <c r="AD69" s="18" t="n">
        <v>25</v>
      </c>
      <c r="AE69" s="93" t="n">
        <v>100</v>
      </c>
      <c r="AF69" s="92" t="n">
        <v>6</v>
      </c>
      <c r="AG69" s="90" t="n">
        <v>24.5</v>
      </c>
      <c r="AH69" s="35" t="n">
        <v>98</v>
      </c>
      <c r="AI69" s="36" t="n">
        <v>3</v>
      </c>
      <c r="AJ69" s="90" t="n">
        <v>23</v>
      </c>
      <c r="AK69" s="35" t="n">
        <v>91</v>
      </c>
      <c r="AL69" s="36" t="n">
        <v>4</v>
      </c>
      <c r="AM69" s="90" t="n">
        <v>25</v>
      </c>
      <c r="AN69" s="35" t="n">
        <v>100</v>
      </c>
      <c r="AO69" s="36" t="n">
        <v>5</v>
      </c>
      <c r="AP69" s="90" t="n">
        <v>24</v>
      </c>
      <c r="AQ69" s="58" t="n">
        <v>76</v>
      </c>
      <c r="AR69" s="45" t="n">
        <v>4</v>
      </c>
      <c r="AS69" s="37">
        <f>SUM(I69+L69+O69+R69+U69+X69+AA69+AD69+AG69+AJ69+AM69+AP69)</f>
        <v/>
      </c>
      <c r="AT69" s="38">
        <f>SUM(J69+M69+P69+S69+V69+Y69+AB69+AE69+AH69+AK69+AN69+AQ69)</f>
        <v/>
      </c>
      <c r="AU69" s="38">
        <f>SUM(K69+N69+Q69+T69+W69+Z69+AC69+AF69+AI69+AL69+AO69+AR69)</f>
        <v/>
      </c>
      <c r="AV69" s="85" t="inlineStr">
        <is>
          <t>OT SEWING</t>
        </is>
      </c>
    </row>
    <row r="70">
      <c r="A70" s="13" t="n">
        <v>66</v>
      </c>
      <c r="B70" s="241" t="inlineStr">
        <is>
          <t>นาง</t>
        </is>
      </c>
      <c r="C70" s="241" t="inlineStr">
        <is>
          <t>ศิริพร</t>
        </is>
      </c>
      <c r="D70" s="74" t="inlineStr">
        <is>
          <t>โพธิ์สุวรรณ</t>
        </is>
      </c>
      <c r="E70" s="111" t="n">
        <v>348</v>
      </c>
      <c r="F70" s="41" t="n">
        <v>237941</v>
      </c>
      <c r="G70" s="32" t="inlineStr">
        <is>
          <t>ทั่วไป</t>
        </is>
      </c>
      <c r="H70" s="171" t="n"/>
      <c r="I70" s="19" t="n">
        <v>24</v>
      </c>
      <c r="J70" s="19" t="n">
        <v>88</v>
      </c>
      <c r="K70" s="60" t="n"/>
      <c r="L70" s="57" t="n">
        <v>23</v>
      </c>
      <c r="M70" s="58" t="n">
        <v>84</v>
      </c>
      <c r="N70" s="45" t="n"/>
      <c r="O70" s="25" t="n">
        <v>25</v>
      </c>
      <c r="P70" s="76" t="n">
        <v>88</v>
      </c>
      <c r="Q70" s="77" t="n"/>
      <c r="R70" s="51" t="n">
        <v>21.5</v>
      </c>
      <c r="S70" s="52" t="n">
        <v>76</v>
      </c>
      <c r="T70" s="53" t="n"/>
      <c r="U70" s="66" t="n">
        <v>26</v>
      </c>
      <c r="V70" s="67" t="n">
        <v>92</v>
      </c>
      <c r="W70" s="68" t="n"/>
      <c r="X70" s="54" t="n">
        <v>19</v>
      </c>
      <c r="Y70" s="55" t="n">
        <v>72</v>
      </c>
      <c r="Z70" s="56" t="n"/>
      <c r="AA70" s="18" t="n">
        <v>25</v>
      </c>
      <c r="AB70" s="93" t="n">
        <v>92</v>
      </c>
      <c r="AC70" s="92" t="n"/>
      <c r="AD70" s="54" t="n">
        <v>24</v>
      </c>
      <c r="AE70" s="55" t="n">
        <v>88</v>
      </c>
      <c r="AF70" s="56" t="n"/>
      <c r="AG70" s="57" t="n">
        <v>25.5</v>
      </c>
      <c r="AH70" s="58" t="n">
        <v>92</v>
      </c>
      <c r="AI70" s="45" t="n"/>
      <c r="AJ70" s="57" t="n">
        <v>21</v>
      </c>
      <c r="AK70" s="58" t="n">
        <v>44</v>
      </c>
      <c r="AL70" s="45" t="n"/>
      <c r="AM70" s="57" t="n">
        <v>23.5</v>
      </c>
      <c r="AN70" s="58" t="n">
        <v>84</v>
      </c>
      <c r="AO70" s="45" t="n"/>
      <c r="AP70" s="57" t="n">
        <v>23</v>
      </c>
      <c r="AQ70" s="35" t="n">
        <v>88</v>
      </c>
      <c r="AR70" s="36" t="n"/>
      <c r="AS70" s="37">
        <f>SUM(I70+L70+O70+R70+U70+X70+AA70+AD70+AG70+AJ70+AM70+AP70)</f>
        <v/>
      </c>
      <c r="AT70" s="38">
        <f>SUM(J70+M70+P70+S70+V70+Y70+AB70+AE70+AH70+AK70+AN70+AQ70)</f>
        <v/>
      </c>
      <c r="AU70" s="38">
        <f>SUM(K70+N70+Q70+T70+W70+Z70+AC70+AF70+AI70+AL70+AO70+AR70)</f>
        <v/>
      </c>
      <c r="AV70" s="85" t="inlineStr">
        <is>
          <t>OT SEWING</t>
        </is>
      </c>
    </row>
    <row r="71">
      <c r="A71" s="13" t="n">
        <v>67</v>
      </c>
      <c r="B71" s="241" t="inlineStr">
        <is>
          <t>นาง</t>
        </is>
      </c>
      <c r="C71" s="241" t="inlineStr">
        <is>
          <t>ศิริพร</t>
        </is>
      </c>
      <c r="D71" s="74" t="inlineStr">
        <is>
          <t>ทองชื่น</t>
        </is>
      </c>
      <c r="E71" s="91" t="n">
        <v>356</v>
      </c>
      <c r="F71" s="59" t="n">
        <v>240416</v>
      </c>
      <c r="G71" s="32" t="inlineStr">
        <is>
          <t>ทั่วไป</t>
        </is>
      </c>
      <c r="H71" s="256" t="n"/>
      <c r="I71" s="19" t="n">
        <v>23</v>
      </c>
      <c r="J71" s="19" t="n">
        <v>92</v>
      </c>
      <c r="K71" s="60" t="n"/>
      <c r="L71" s="57" t="n">
        <v>23.5</v>
      </c>
      <c r="M71" s="58" t="n">
        <v>92</v>
      </c>
      <c r="N71" s="45" t="n">
        <v>3</v>
      </c>
      <c r="O71" s="25" t="n">
        <v>24</v>
      </c>
      <c r="P71" s="19" t="n">
        <v>92</v>
      </c>
      <c r="Q71" s="60" t="n"/>
      <c r="R71" s="51" t="n">
        <v>21</v>
      </c>
      <c r="S71" s="52" t="n">
        <v>76</v>
      </c>
      <c r="T71" s="53" t="n"/>
      <c r="U71" s="66" t="n">
        <v>25</v>
      </c>
      <c r="V71" s="67" t="n">
        <v>100</v>
      </c>
      <c r="W71" s="68" t="n"/>
      <c r="X71" s="18" t="n">
        <v>23</v>
      </c>
      <c r="Y71" s="93" t="n">
        <v>92</v>
      </c>
      <c r="Z71" s="92" t="n">
        <v>3</v>
      </c>
      <c r="AA71" s="54" t="n">
        <v>25</v>
      </c>
      <c r="AB71" s="55" t="n">
        <v>100</v>
      </c>
      <c r="AC71" s="56" t="n">
        <v>4</v>
      </c>
      <c r="AD71" s="18" t="n">
        <v>24</v>
      </c>
      <c r="AE71" s="93" t="n">
        <v>96</v>
      </c>
      <c r="AF71" s="92" t="n">
        <v>5</v>
      </c>
      <c r="AG71" s="90" t="n">
        <v>23</v>
      </c>
      <c r="AH71" s="35" t="n">
        <v>92</v>
      </c>
      <c r="AI71" s="36" t="n">
        <v>3</v>
      </c>
      <c r="AJ71" s="90" t="n">
        <v>24</v>
      </c>
      <c r="AK71" s="35" t="n">
        <v>91</v>
      </c>
      <c r="AL71" s="36" t="n">
        <v>3</v>
      </c>
      <c r="AM71" s="90" t="n">
        <v>24</v>
      </c>
      <c r="AN71" s="35" t="n">
        <v>72</v>
      </c>
      <c r="AO71" s="36" t="n">
        <v>3</v>
      </c>
      <c r="AP71" s="90" t="n">
        <v>23</v>
      </c>
      <c r="AQ71" s="58" t="n">
        <v>88</v>
      </c>
      <c r="AR71" s="45" t="n">
        <v>2</v>
      </c>
      <c r="AS71" s="37">
        <f>SUM(I71+L71+O71+R71+U71+X71+AA71+AD71+AG71+AJ71+AM71+AP71)</f>
        <v/>
      </c>
      <c r="AT71" s="38">
        <f>SUM(J71+M71+P71+S71+V71+Y71+AB71+AE71+AH71+AK71+AN71+AQ71)</f>
        <v/>
      </c>
      <c r="AU71" s="38">
        <f>SUM(K71+N71+Q71+T71+W71+Z71+AC71+AF71+AI71+AL71+AO71+AR71)</f>
        <v/>
      </c>
      <c r="AV71" s="85" t="inlineStr">
        <is>
          <t>OT SEWING</t>
        </is>
      </c>
    </row>
    <row r="72">
      <c r="A72" s="13" t="n">
        <v>68</v>
      </c>
      <c r="B72" s="241" t="inlineStr">
        <is>
          <t>นาง</t>
        </is>
      </c>
      <c r="C72" s="241" t="inlineStr">
        <is>
          <t>ศิริพร</t>
        </is>
      </c>
      <c r="D72" s="14" t="inlineStr">
        <is>
          <t>อินทร์หอม</t>
        </is>
      </c>
      <c r="E72" s="118" t="n">
        <v>348</v>
      </c>
      <c r="F72" s="79" t="n">
        <v>243961</v>
      </c>
      <c r="G72" s="117" t="inlineStr">
        <is>
          <t>เย็บผ้า</t>
        </is>
      </c>
      <c r="H72" s="256" t="n"/>
      <c r="I72" s="19" t="n">
        <v>24</v>
      </c>
      <c r="J72" s="19" t="n">
        <v>80</v>
      </c>
      <c r="K72" s="60" t="n">
        <v>1</v>
      </c>
      <c r="L72" s="57" t="n">
        <v>23</v>
      </c>
      <c r="M72" s="58" t="n">
        <v>59</v>
      </c>
      <c r="N72" s="45" t="n">
        <v>1</v>
      </c>
      <c r="O72" s="25" t="n">
        <v>26</v>
      </c>
      <c r="P72" s="43" t="n">
        <v>84</v>
      </c>
      <c r="Q72" s="47" t="n"/>
      <c r="R72" s="51" t="n">
        <v>22</v>
      </c>
      <c r="S72" s="52" t="n">
        <v>72</v>
      </c>
      <c r="T72" s="53" t="n"/>
      <c r="U72" s="66" t="n">
        <v>25</v>
      </c>
      <c r="V72" s="67" t="n">
        <v>88</v>
      </c>
      <c r="W72" s="68" t="n"/>
      <c r="X72" s="18" t="n">
        <v>23</v>
      </c>
      <c r="Y72" s="93" t="n">
        <v>80</v>
      </c>
      <c r="Z72" s="92" t="n"/>
      <c r="AA72" s="18" t="n">
        <v>25</v>
      </c>
      <c r="AB72" s="93" t="n">
        <v>88</v>
      </c>
      <c r="AC72" s="92" t="n"/>
      <c r="AD72" s="18" t="n">
        <v>23</v>
      </c>
      <c r="AE72" s="93" t="n">
        <v>84</v>
      </c>
      <c r="AF72" s="92" t="n"/>
      <c r="AG72" s="90" t="n">
        <v>24.5</v>
      </c>
      <c r="AH72" s="35" t="n">
        <v>88</v>
      </c>
      <c r="AI72" s="36" t="n">
        <v>1</v>
      </c>
      <c r="AJ72" s="90" t="n">
        <v>26</v>
      </c>
      <c r="AK72" s="35" t="n">
        <v>87</v>
      </c>
      <c r="AL72" s="36" t="n">
        <v>2</v>
      </c>
      <c r="AM72" s="90" t="n">
        <v>25</v>
      </c>
      <c r="AN72" s="35" t="n">
        <v>84</v>
      </c>
      <c r="AO72" s="36" t="n">
        <v>3</v>
      </c>
      <c r="AP72" s="90" t="n">
        <v>25</v>
      </c>
      <c r="AQ72" s="58" t="n">
        <v>92</v>
      </c>
      <c r="AR72" s="45" t="n">
        <v>4</v>
      </c>
      <c r="AS72" s="37">
        <f>SUM(I72+L72+O72+R72+U72+X72+AA72+AD72+AG72+AJ72+AM72+AP72)</f>
        <v/>
      </c>
      <c r="AT72" s="38">
        <f>SUM(J72+M72+P72+S72+V72+Y72+AB72+AE72+AH72+AK72+AN72+AQ72)</f>
        <v/>
      </c>
      <c r="AU72" s="38">
        <f>SUM(K72+N72+Q72+T72+W72+Z72+AC72+AF72+AI72+AL72+AO72+AR72)</f>
        <v/>
      </c>
      <c r="AV72" s="85" t="inlineStr">
        <is>
          <t>OT SEWING</t>
        </is>
      </c>
    </row>
    <row r="73">
      <c r="A73" s="13" t="n">
        <v>69</v>
      </c>
      <c r="B73" s="241" t="inlineStr">
        <is>
          <t>นาง</t>
        </is>
      </c>
      <c r="C73" s="241" t="inlineStr">
        <is>
          <t>ศิริรัตน์</t>
        </is>
      </c>
      <c r="D73" s="74" t="inlineStr">
        <is>
          <t>คล้ายสอน</t>
        </is>
      </c>
      <c r="E73" s="94" t="n">
        <v>352</v>
      </c>
      <c r="F73" s="79" t="n">
        <v>237412</v>
      </c>
      <c r="G73" s="18" t="inlineStr">
        <is>
          <t>เย็บผ้า</t>
        </is>
      </c>
      <c r="H73" s="171" t="n"/>
      <c r="I73" s="19" t="n">
        <v>25</v>
      </c>
      <c r="J73" s="19" t="n">
        <v>100</v>
      </c>
      <c r="K73" s="60" t="n">
        <v>1</v>
      </c>
      <c r="L73" s="57" t="n">
        <v>24</v>
      </c>
      <c r="M73" s="58" t="n">
        <v>96</v>
      </c>
      <c r="N73" s="45" t="n">
        <v>3</v>
      </c>
      <c r="O73" s="25" t="n">
        <v>23</v>
      </c>
      <c r="P73" s="43" t="n">
        <v>80</v>
      </c>
      <c r="Q73" s="47" t="n"/>
      <c r="R73" s="51" t="n">
        <v>20</v>
      </c>
      <c r="S73" s="52" t="n">
        <v>68</v>
      </c>
      <c r="T73" s="53" t="n"/>
      <c r="U73" s="66" t="n">
        <v>23</v>
      </c>
      <c r="V73" s="67" t="n">
        <v>88.5</v>
      </c>
      <c r="W73" s="68" t="n"/>
      <c r="X73" s="54" t="n">
        <v>20</v>
      </c>
      <c r="Y73" s="55" t="n">
        <v>80</v>
      </c>
      <c r="Z73" s="56" t="n">
        <v>1</v>
      </c>
      <c r="AA73" s="18" t="n">
        <v>26</v>
      </c>
      <c r="AB73" s="93" t="n">
        <v>104</v>
      </c>
      <c r="AC73" s="92" t="n">
        <v>5</v>
      </c>
      <c r="AD73" s="54" t="n">
        <v>25</v>
      </c>
      <c r="AE73" s="55" t="n">
        <v>100</v>
      </c>
      <c r="AF73" s="56" t="n">
        <v>6</v>
      </c>
      <c r="AG73" s="57" t="n">
        <v>26</v>
      </c>
      <c r="AH73" s="58" t="n">
        <v>106</v>
      </c>
      <c r="AI73" s="45" t="n">
        <v>3</v>
      </c>
      <c r="AJ73" s="57" t="n">
        <v>26</v>
      </c>
      <c r="AK73" s="58" t="n">
        <v>103</v>
      </c>
      <c r="AL73" s="45" t="n">
        <v>3</v>
      </c>
      <c r="AM73" s="57" t="n">
        <v>22</v>
      </c>
      <c r="AN73" s="58" t="n">
        <v>88</v>
      </c>
      <c r="AO73" s="45" t="n">
        <v>3</v>
      </c>
      <c r="AP73" s="57" t="n">
        <v>24</v>
      </c>
      <c r="AQ73" s="58" t="n">
        <v>92</v>
      </c>
      <c r="AR73" s="45" t="n">
        <v>4</v>
      </c>
      <c r="AS73" s="37">
        <f>SUM(I73+L73+O73+R73+U73+X73+AA73+AD73+AG73+AJ73+AM73+AP73)</f>
        <v/>
      </c>
      <c r="AT73" s="38">
        <f>SUM(J73+M73+P73+S73+V73+Y73+AB73+AE73+AH73+AK73+AN73+AQ73)</f>
        <v/>
      </c>
      <c r="AU73" s="38">
        <f>SUM(K73+N73+Q73+T73+W73+Z73+AC73+AF73+AI73+AL73+AO73+AR73)</f>
        <v/>
      </c>
      <c r="AV73" s="85" t="inlineStr">
        <is>
          <t>OT SEWING</t>
        </is>
      </c>
    </row>
    <row r="74">
      <c r="A74" s="13" t="n">
        <v>70</v>
      </c>
      <c r="B74" s="241" t="inlineStr">
        <is>
          <t>น.ส.</t>
        </is>
      </c>
      <c r="C74" s="241" t="inlineStr">
        <is>
          <t>สถาพร</t>
        </is>
      </c>
      <c r="D74" s="74" t="inlineStr">
        <is>
          <t>โฉมเชิด</t>
        </is>
      </c>
      <c r="E74" s="91" t="n">
        <v>348</v>
      </c>
      <c r="F74" s="41" t="n">
        <v>238512</v>
      </c>
      <c r="G74" s="56" t="inlineStr">
        <is>
          <t>ทั่วไป</t>
        </is>
      </c>
      <c r="H74" s="205" t="n"/>
      <c r="I74" s="19" t="n">
        <v>23.5</v>
      </c>
      <c r="J74" s="19" t="n">
        <v>84</v>
      </c>
      <c r="K74" s="60" t="n"/>
      <c r="L74" s="57" t="n">
        <v>22</v>
      </c>
      <c r="M74" s="58" t="n">
        <v>80</v>
      </c>
      <c r="N74" s="45" t="n"/>
      <c r="O74" s="25" t="n">
        <v>24.5</v>
      </c>
      <c r="P74" s="76" t="n">
        <v>84</v>
      </c>
      <c r="Q74" s="77" t="n"/>
      <c r="R74" s="51" t="n">
        <v>21</v>
      </c>
      <c r="S74" s="52" t="n">
        <v>72</v>
      </c>
      <c r="T74" s="53" t="n"/>
      <c r="U74" s="66" t="n">
        <v>22.5</v>
      </c>
      <c r="V74" s="67" t="n">
        <v>40</v>
      </c>
      <c r="W74" s="68" t="n"/>
      <c r="X74" s="18" t="n">
        <v>20.5</v>
      </c>
      <c r="Y74" s="93" t="n"/>
      <c r="Z74" s="92" t="n"/>
      <c r="AA74" s="54" t="n">
        <v>24.5</v>
      </c>
      <c r="AB74" s="55" t="n">
        <v>88</v>
      </c>
      <c r="AC74" s="56" t="n"/>
      <c r="AD74" s="18" t="n">
        <v>23</v>
      </c>
      <c r="AE74" s="93" t="n">
        <v>84</v>
      </c>
      <c r="AF74" s="92" t="n"/>
      <c r="AG74" s="90" t="n">
        <v>24.5</v>
      </c>
      <c r="AH74" s="35" t="n">
        <v>88</v>
      </c>
      <c r="AI74" s="36" t="n"/>
      <c r="AJ74" s="90" t="n">
        <v>24.5</v>
      </c>
      <c r="AK74" s="35" t="n">
        <v>88</v>
      </c>
      <c r="AL74" s="36" t="n"/>
      <c r="AM74" s="90" t="n">
        <v>21.5</v>
      </c>
      <c r="AN74" s="35" t="n">
        <v>36</v>
      </c>
      <c r="AO74" s="36" t="n"/>
      <c r="AP74" s="90" t="n">
        <v>21.5</v>
      </c>
      <c r="AQ74" s="58" t="n"/>
      <c r="AR74" s="45" t="n"/>
      <c r="AS74" s="37">
        <f>SUM(I74+L74+O74+R74+U74+X74+AA74+AD74+AG74+AJ74+AM74+AP74)</f>
        <v/>
      </c>
      <c r="AT74" s="38">
        <f>SUM(J74+M74+P74+S74+V74+Y74+AB74+AE74+AH74+AK74+AN74+AQ74)</f>
        <v/>
      </c>
      <c r="AU74" s="38">
        <f>SUM(K74+N74+Q74+T74+W74+Z74+AC74+AF74+AI74+AL74+AO74+AR74)</f>
        <v/>
      </c>
      <c r="AV74" s="85" t="inlineStr">
        <is>
          <t>OT SEWING</t>
        </is>
      </c>
    </row>
    <row r="75">
      <c r="A75" s="13" t="n">
        <v>71</v>
      </c>
      <c r="B75" s="241" t="inlineStr">
        <is>
          <t>นาง</t>
        </is>
      </c>
      <c r="C75" s="241" t="inlineStr">
        <is>
          <t>สายทอง</t>
        </is>
      </c>
      <c r="D75" s="74" t="inlineStr">
        <is>
          <t>ชอบรส</t>
        </is>
      </c>
      <c r="E75" s="94" t="n">
        <v>348</v>
      </c>
      <c r="F75" s="41" t="n">
        <v>237351</v>
      </c>
      <c r="G75" s="18" t="inlineStr">
        <is>
          <t>เย็บผ้า</t>
        </is>
      </c>
      <c r="H75" s="205" t="n"/>
      <c r="I75" s="19" t="n">
        <v>25</v>
      </c>
      <c r="J75" s="19" t="n">
        <v>100</v>
      </c>
      <c r="K75" s="60" t="n">
        <v>1</v>
      </c>
      <c r="L75" s="57" t="n">
        <v>24</v>
      </c>
      <c r="M75" s="58" t="n">
        <v>96</v>
      </c>
      <c r="N75" s="45" t="n">
        <v>4</v>
      </c>
      <c r="O75" s="25" t="n">
        <v>26</v>
      </c>
      <c r="P75" s="19" t="n">
        <v>100</v>
      </c>
      <c r="Q75" s="60" t="n"/>
      <c r="R75" s="51" t="n">
        <v>22</v>
      </c>
      <c r="S75" s="52" t="n">
        <v>84</v>
      </c>
      <c r="T75" s="53" t="n"/>
      <c r="U75" s="66" t="n">
        <v>26</v>
      </c>
      <c r="V75" s="67" t="n">
        <v>104</v>
      </c>
      <c r="W75" s="68" t="n"/>
      <c r="X75" s="54" t="n">
        <v>23</v>
      </c>
      <c r="Y75" s="55" t="n">
        <v>92</v>
      </c>
      <c r="Z75" s="56" t="n">
        <v>2</v>
      </c>
      <c r="AA75" s="18" t="n">
        <v>25</v>
      </c>
      <c r="AB75" s="93" t="n">
        <v>100</v>
      </c>
      <c r="AC75" s="92" t="n">
        <v>4</v>
      </c>
      <c r="AD75" s="54" t="n">
        <v>24</v>
      </c>
      <c r="AE75" s="55" t="n">
        <v>96</v>
      </c>
      <c r="AF75" s="56" t="n">
        <v>6</v>
      </c>
      <c r="AG75" s="57" t="n">
        <v>26</v>
      </c>
      <c r="AH75" s="58" t="n">
        <v>104</v>
      </c>
      <c r="AI75" s="45" t="n">
        <v>3</v>
      </c>
      <c r="AJ75" s="57" t="n">
        <v>26</v>
      </c>
      <c r="AK75" s="58" t="n">
        <v>103</v>
      </c>
      <c r="AL75" s="45" t="n">
        <v>4</v>
      </c>
      <c r="AM75" s="57" t="n">
        <v>24</v>
      </c>
      <c r="AN75" s="58" t="n">
        <v>96</v>
      </c>
      <c r="AO75" s="45" t="n">
        <v>5</v>
      </c>
      <c r="AP75" s="57" t="n">
        <v>25</v>
      </c>
      <c r="AQ75" s="35" t="n">
        <v>96</v>
      </c>
      <c r="AR75" s="36" t="n">
        <v>4</v>
      </c>
      <c r="AS75" s="37">
        <f>SUM(I75+L75+O75+R75+U75+X75+AA75+AD75+AG75+AJ75+AM75+AP75)</f>
        <v/>
      </c>
      <c r="AT75" s="38">
        <f>SUM(J75+M75+P75+S75+V75+Y75+AB75+AE75+AH75+AK75+AN75+AQ75)</f>
        <v/>
      </c>
      <c r="AU75" s="38">
        <f>SUM(K75+N75+Q75+T75+W75+Z75+AC75+AF75+AI75+AL75+AO75+AR75)</f>
        <v/>
      </c>
      <c r="AV75" s="85" t="inlineStr">
        <is>
          <t>OT SEWING</t>
        </is>
      </c>
    </row>
    <row r="76">
      <c r="A76" s="13" t="n">
        <v>72</v>
      </c>
      <c r="B76" s="241" t="inlineStr">
        <is>
          <t>นาย</t>
        </is>
      </c>
      <c r="C76" s="241" t="inlineStr">
        <is>
          <t>สิทธิชัย</t>
        </is>
      </c>
      <c r="D76" s="74" t="inlineStr">
        <is>
          <t>โฉมเชิด</t>
        </is>
      </c>
      <c r="E76" s="91" t="n">
        <v>359</v>
      </c>
      <c r="F76" s="41" t="n">
        <v>240026</v>
      </c>
      <c r="G76" s="56" t="inlineStr">
        <is>
          <t>ทั่วไป</t>
        </is>
      </c>
      <c r="H76" s="256" t="n"/>
      <c r="I76" s="19" t="n">
        <v>24</v>
      </c>
      <c r="J76" s="19" t="n">
        <v>84</v>
      </c>
      <c r="K76" s="60" t="n"/>
      <c r="L76" s="57" t="n">
        <v>23.5</v>
      </c>
      <c r="M76" s="58" t="n">
        <v>88</v>
      </c>
      <c r="N76" s="45" t="n"/>
      <c r="O76" s="25" t="n">
        <v>24</v>
      </c>
      <c r="P76" s="43" t="n">
        <v>92</v>
      </c>
      <c r="Q76" s="47" t="n"/>
      <c r="R76" s="51" t="n">
        <v>21.5</v>
      </c>
      <c r="S76" s="52" t="n">
        <v>72</v>
      </c>
      <c r="T76" s="53" t="n"/>
      <c r="U76" s="66" t="n">
        <v>25</v>
      </c>
      <c r="V76" s="67" t="n">
        <v>96.5</v>
      </c>
      <c r="W76" s="68" t="n"/>
      <c r="X76" s="18" t="n">
        <v>21</v>
      </c>
      <c r="Y76" s="93" t="n">
        <v>80</v>
      </c>
      <c r="Z76" s="92" t="n"/>
      <c r="AA76" s="54" t="n">
        <v>26</v>
      </c>
      <c r="AB76" s="55" t="n">
        <v>100</v>
      </c>
      <c r="AC76" s="56" t="n">
        <v>2</v>
      </c>
      <c r="AD76" s="18" t="n">
        <v>25</v>
      </c>
      <c r="AE76" s="93" t="n">
        <v>100</v>
      </c>
      <c r="AF76" s="92" t="n"/>
      <c r="AG76" s="90" t="n">
        <v>23</v>
      </c>
      <c r="AH76" s="35" t="n">
        <v>90</v>
      </c>
      <c r="AI76" s="36" t="n"/>
      <c r="AJ76" s="90" t="n">
        <v>25</v>
      </c>
      <c r="AK76" s="35" t="n">
        <v>99</v>
      </c>
      <c r="AL76" s="36" t="n">
        <v>4</v>
      </c>
      <c r="AM76" s="90" t="n">
        <v>25</v>
      </c>
      <c r="AN76" s="35" t="n">
        <v>100</v>
      </c>
      <c r="AO76" s="36" t="n">
        <v>3</v>
      </c>
      <c r="AP76" s="90" t="n">
        <v>25</v>
      </c>
      <c r="AQ76" s="58" t="n">
        <v>96</v>
      </c>
      <c r="AR76" s="45" t="n">
        <v>3</v>
      </c>
      <c r="AS76" s="37">
        <f>SUM(I76+L76+O76+R76+U76+X76+AA76+AD76+AG76+AJ76+AM76+AP76)</f>
        <v/>
      </c>
      <c r="AT76" s="38">
        <f>SUM(J76+M76+P76+S76+V76+Y76+AB76+AE76+AH76+AK76+AN76+AQ76)</f>
        <v/>
      </c>
      <c r="AU76" s="38">
        <f>SUM(K76+N76+Q76+T76+W76+Z76+AC76+AF76+AI76+AL76+AO76+AR76)</f>
        <v/>
      </c>
      <c r="AV76" s="85" t="inlineStr">
        <is>
          <t>OT SEWING</t>
        </is>
      </c>
    </row>
    <row r="77">
      <c r="A77" s="13" t="n">
        <v>73</v>
      </c>
      <c r="B77" s="241" t="inlineStr">
        <is>
          <t>นาง</t>
        </is>
      </c>
      <c r="C77" s="241" t="inlineStr">
        <is>
          <t>สุพรรษา</t>
        </is>
      </c>
      <c r="D77" s="74" t="inlineStr">
        <is>
          <t>กาฬภักดี</t>
        </is>
      </c>
      <c r="E77" s="94" t="n">
        <v>348</v>
      </c>
      <c r="F77" s="79" t="n">
        <v>237127</v>
      </c>
      <c r="G77" s="18" t="inlineStr">
        <is>
          <t>เย็บผ้า</t>
        </is>
      </c>
      <c r="H77" s="256" t="n"/>
      <c r="I77" s="19" t="n">
        <v>21.5</v>
      </c>
      <c r="J77" s="19" t="n">
        <v>72</v>
      </c>
      <c r="K77" s="60" t="n"/>
      <c r="L77" s="57" t="n">
        <v>24</v>
      </c>
      <c r="M77" s="58" t="n">
        <v>88</v>
      </c>
      <c r="N77" s="45" t="n">
        <v>2</v>
      </c>
      <c r="O77" s="25" t="n">
        <v>25</v>
      </c>
      <c r="P77" s="76" t="n">
        <v>80</v>
      </c>
      <c r="Q77" s="77" t="n"/>
      <c r="R77" s="51" t="n">
        <v>22</v>
      </c>
      <c r="S77" s="52" t="n">
        <v>52</v>
      </c>
      <c r="T77" s="53" t="n"/>
      <c r="U77" s="66" t="n">
        <v>25</v>
      </c>
      <c r="V77" s="67" t="n">
        <v>88.5</v>
      </c>
      <c r="W77" s="68" t="n"/>
      <c r="X77" s="54" t="n">
        <v>20.5</v>
      </c>
      <c r="Y77" s="55" t="n">
        <v>80.5</v>
      </c>
      <c r="Z77" s="56" t="n">
        <v>1</v>
      </c>
      <c r="AA77" s="18" t="n">
        <v>25</v>
      </c>
      <c r="AB77" s="93" t="n">
        <v>96</v>
      </c>
      <c r="AC77" s="92" t="n">
        <v>4</v>
      </c>
      <c r="AD77" s="54" t="n">
        <v>21</v>
      </c>
      <c r="AE77" s="55" t="n">
        <v>72</v>
      </c>
      <c r="AF77" s="56" t="n">
        <v>4</v>
      </c>
      <c r="AG77" s="57" t="n">
        <v>25</v>
      </c>
      <c r="AH77" s="58" t="n">
        <v>88</v>
      </c>
      <c r="AI77" s="45" t="n">
        <v>2</v>
      </c>
      <c r="AJ77" s="57" t="n">
        <v>24</v>
      </c>
      <c r="AK77" s="58" t="n">
        <v>72</v>
      </c>
      <c r="AL77" s="45" t="n">
        <v>2</v>
      </c>
      <c r="AM77" s="57" t="n">
        <v>23.5</v>
      </c>
      <c r="AN77" s="58" t="n">
        <v>76</v>
      </c>
      <c r="AO77" s="45" t="n">
        <v>3</v>
      </c>
      <c r="AP77" s="57" t="n">
        <v>24</v>
      </c>
      <c r="AQ77" s="35" t="n">
        <v>88</v>
      </c>
      <c r="AR77" s="36" t="n">
        <v>4</v>
      </c>
      <c r="AS77" s="37">
        <f>SUM(I77+L77+O77+R77+U77+X77+AA77+AD77+AG77+AJ77+AM77+AP77)</f>
        <v/>
      </c>
      <c r="AT77" s="38">
        <f>SUM(J77+M77+P77+S77+V77+Y77+AB77+AE77+AH77+AK77+AN77+AQ77)</f>
        <v/>
      </c>
      <c r="AU77" s="38">
        <f>SUM(K77+N77+Q77+T77+W77+Z77+AC77+AF77+AI77+AL77+AO77+AR77)</f>
        <v/>
      </c>
      <c r="AV77" s="85" t="inlineStr">
        <is>
          <t>OT SEWING</t>
        </is>
      </c>
    </row>
    <row r="78">
      <c r="A78" s="13" t="n">
        <v>74</v>
      </c>
      <c r="B78" s="241" t="inlineStr">
        <is>
          <t>นาย</t>
        </is>
      </c>
      <c r="C78" s="241" t="inlineStr">
        <is>
          <t>สุเมต</t>
        </is>
      </c>
      <c r="D78" s="64" t="inlineStr">
        <is>
          <t>เผือกผ่อง</t>
        </is>
      </c>
      <c r="E78" s="94" t="n">
        <v>359</v>
      </c>
      <c r="F78" s="41" t="n">
        <v>240235</v>
      </c>
      <c r="G78" s="56" t="inlineStr">
        <is>
          <t>ทั่วไป</t>
        </is>
      </c>
      <c r="H78" s="256" t="n"/>
      <c r="I78" s="19" t="n">
        <v>25</v>
      </c>
      <c r="J78" s="19" t="n">
        <v>96</v>
      </c>
      <c r="K78" s="60" t="n"/>
      <c r="L78" s="57" t="n">
        <v>24</v>
      </c>
      <c r="M78" s="58" t="n">
        <v>96</v>
      </c>
      <c r="N78" s="45" t="n">
        <v>3</v>
      </c>
      <c r="O78" s="25" t="n">
        <v>25</v>
      </c>
      <c r="P78" s="76" t="n">
        <v>88</v>
      </c>
      <c r="Q78" s="77" t="n"/>
      <c r="R78" s="113" t="n">
        <v>23</v>
      </c>
      <c r="S78" s="52" t="n">
        <v>88</v>
      </c>
      <c r="T78" s="53" t="n"/>
      <c r="U78" s="66" t="n">
        <v>24.5</v>
      </c>
      <c r="V78" s="67" t="n">
        <v>88</v>
      </c>
      <c r="W78" s="68" t="n"/>
      <c r="X78" s="54" t="n">
        <v>24</v>
      </c>
      <c r="Y78" s="55" t="n">
        <v>96.5</v>
      </c>
      <c r="Z78" s="56" t="n">
        <v>2</v>
      </c>
      <c r="AA78" s="54" t="n">
        <v>26</v>
      </c>
      <c r="AB78" s="55" t="n">
        <v>104</v>
      </c>
      <c r="AC78" s="56" t="n">
        <v>4</v>
      </c>
      <c r="AD78" s="54" t="n">
        <v>23</v>
      </c>
      <c r="AE78" s="55" t="n">
        <v>84</v>
      </c>
      <c r="AF78" s="56" t="n">
        <v>4</v>
      </c>
      <c r="AG78" s="57" t="n">
        <v>26</v>
      </c>
      <c r="AH78" s="58" t="n">
        <v>106</v>
      </c>
      <c r="AI78" s="45" t="n">
        <v>3</v>
      </c>
      <c r="AJ78" s="57" t="n">
        <v>26</v>
      </c>
      <c r="AK78" s="58" t="n">
        <v>99.5</v>
      </c>
      <c r="AL78" s="45" t="n">
        <v>2</v>
      </c>
      <c r="AM78" s="57" t="n">
        <v>24</v>
      </c>
      <c r="AN78" s="58" t="n">
        <v>88</v>
      </c>
      <c r="AO78" s="45" t="n">
        <v>2</v>
      </c>
      <c r="AP78" s="57" t="n">
        <v>25</v>
      </c>
      <c r="AQ78" s="58" t="n">
        <v>96</v>
      </c>
      <c r="AR78" s="45" t="n">
        <v>4</v>
      </c>
      <c r="AS78" s="37">
        <f>SUM(I78+L78+O78+R78+U78+X78+AA78+AD78+AG78+AJ78+AM78+AP78)</f>
        <v/>
      </c>
      <c r="AT78" s="38">
        <f>SUM(J78+M78+P78+S78+V78+Y78+AB78+AE78+AH78+AK78+AN78+AQ78)</f>
        <v/>
      </c>
      <c r="AU78" s="38">
        <f>SUM(K78+N78+Q78+T78+W78+Z78+AC78+AF78+AI78+AL78+AO78+AR78)</f>
        <v/>
      </c>
      <c r="AV78" s="85" t="inlineStr">
        <is>
          <t>OT SEWING</t>
        </is>
      </c>
    </row>
    <row r="79">
      <c r="A79" s="13" t="n">
        <v>75</v>
      </c>
      <c r="B79" s="241" t="inlineStr">
        <is>
          <t>น.ส.</t>
        </is>
      </c>
      <c r="C79" s="241" t="inlineStr">
        <is>
          <t>สุรีพร</t>
        </is>
      </c>
      <c r="D79" s="14" t="inlineStr">
        <is>
          <t>อ่อนคำ</t>
        </is>
      </c>
      <c r="E79" s="65" t="inlineStr">
        <is>
          <t>348</t>
        </is>
      </c>
      <c r="F79" s="79" t="n">
        <v>243957</v>
      </c>
      <c r="G79" s="117" t="inlineStr">
        <is>
          <t>ทั่วไป</t>
        </is>
      </c>
      <c r="H79" s="257" t="n"/>
      <c r="I79" s="19" t="n">
        <v>24.5</v>
      </c>
      <c r="J79" s="19" t="n">
        <v>84</v>
      </c>
      <c r="K79" s="60" t="n"/>
      <c r="L79" s="57" t="n">
        <v>24</v>
      </c>
      <c r="M79" s="58" t="n">
        <v>80</v>
      </c>
      <c r="N79" s="45" t="n"/>
      <c r="O79" s="25" t="n">
        <v>24</v>
      </c>
      <c r="P79" s="76" t="n">
        <v>84</v>
      </c>
      <c r="Q79" s="77" t="n"/>
      <c r="R79" s="48" t="n">
        <v>17.5</v>
      </c>
      <c r="S79" s="49" t="n">
        <v>24</v>
      </c>
      <c r="T79" s="50" t="n"/>
      <c r="U79" s="101" t="n">
        <v>23.5</v>
      </c>
      <c r="V79" s="102" t="n"/>
      <c r="W79" s="103" t="n"/>
      <c r="X79" s="18" t="n">
        <v>23</v>
      </c>
      <c r="Y79" s="93" t="n">
        <v>56</v>
      </c>
      <c r="Z79" s="92" t="n"/>
      <c r="AA79" s="104" t="n">
        <v>24</v>
      </c>
      <c r="AB79" s="105" t="n">
        <v>64</v>
      </c>
      <c r="AC79" s="32" t="n"/>
      <c r="AD79" s="18" t="n">
        <v>24.5</v>
      </c>
      <c r="AE79" s="93" t="n">
        <v>96</v>
      </c>
      <c r="AF79" s="92" t="n"/>
      <c r="AG79" s="90" t="n">
        <v>25.5</v>
      </c>
      <c r="AH79" s="35" t="n">
        <v>98</v>
      </c>
      <c r="AI79" s="36" t="n">
        <v>2</v>
      </c>
      <c r="AJ79" s="90" t="n">
        <v>25.5</v>
      </c>
      <c r="AK79" s="35" t="n">
        <v>95</v>
      </c>
      <c r="AL79" s="36" t="n">
        <v>2</v>
      </c>
      <c r="AM79" s="90" t="n">
        <v>24</v>
      </c>
      <c r="AN79" s="35" t="n">
        <v>68</v>
      </c>
      <c r="AO79" s="36" t="n"/>
      <c r="AP79" s="90" t="n">
        <v>23</v>
      </c>
      <c r="AQ79" s="58" t="n">
        <v>80</v>
      </c>
      <c r="AR79" s="45" t="n"/>
      <c r="AS79" s="37">
        <f>SUM(I79+L79+O79+R79+U79+X79+AA79+AD79+AG79+AJ79+AM79+AP79)</f>
        <v/>
      </c>
      <c r="AT79" s="38">
        <f>SUM(J79+M79+P79+S79+V79+Y79+AB79+AE79+AH79+AK79+AN79+AQ79)</f>
        <v/>
      </c>
      <c r="AU79" s="38">
        <f>SUM(K79+N79+Q79+T79+W79+Z79+AC79+AF79+AI79+AL79+AO79+AR79)</f>
        <v/>
      </c>
      <c r="AV79" s="85" t="inlineStr">
        <is>
          <t>OT SEWING</t>
        </is>
      </c>
    </row>
    <row r="80">
      <c r="A80" s="13" t="n">
        <v>76</v>
      </c>
      <c r="B80" s="241" t="inlineStr">
        <is>
          <t>น.ส.</t>
        </is>
      </c>
      <c r="C80" s="241" t="inlineStr">
        <is>
          <t>สุรีรัตน์</t>
        </is>
      </c>
      <c r="D80" s="64" t="inlineStr">
        <is>
          <t>พุ่มโพธิ์</t>
        </is>
      </c>
      <c r="E80" s="94" t="n">
        <v>348</v>
      </c>
      <c r="F80" s="79" t="n">
        <v>243257</v>
      </c>
      <c r="G80" s="56" t="inlineStr">
        <is>
          <t>ทั่วไป</t>
        </is>
      </c>
      <c r="H80" s="257" t="n"/>
      <c r="I80" s="19" t="n">
        <v>22.5</v>
      </c>
      <c r="J80" s="19" t="n">
        <v>84</v>
      </c>
      <c r="K80" s="60" t="n">
        <v>1</v>
      </c>
      <c r="L80" s="57" t="n">
        <v>24</v>
      </c>
      <c r="M80" s="58" t="n">
        <v>96</v>
      </c>
      <c r="N80" s="45" t="n">
        <v>4</v>
      </c>
      <c r="O80" s="25" t="n">
        <v>23.5</v>
      </c>
      <c r="P80" s="76" t="n">
        <v>84</v>
      </c>
      <c r="Q80" s="77" t="n"/>
      <c r="R80" s="48" t="n">
        <v>20.5</v>
      </c>
      <c r="S80" s="49" t="n">
        <v>72</v>
      </c>
      <c r="T80" s="50" t="n"/>
      <c r="U80" s="101" t="n">
        <v>24.5</v>
      </c>
      <c r="V80" s="102" t="n">
        <v>88</v>
      </c>
      <c r="W80" s="103" t="n"/>
      <c r="X80" s="18" t="n">
        <v>22.5</v>
      </c>
      <c r="Y80" s="93" t="n">
        <v>88</v>
      </c>
      <c r="Z80" s="92" t="n">
        <v>1</v>
      </c>
      <c r="AA80" s="104" t="n">
        <v>25</v>
      </c>
      <c r="AB80" s="105" t="n">
        <v>96</v>
      </c>
      <c r="AC80" s="32" t="n">
        <v>5</v>
      </c>
      <c r="AD80" s="18" t="n">
        <v>25</v>
      </c>
      <c r="AE80" s="93" t="n">
        <v>100</v>
      </c>
      <c r="AF80" s="92" t="n">
        <v>6</v>
      </c>
      <c r="AG80" s="90" t="n">
        <v>26</v>
      </c>
      <c r="AH80" s="35" t="n">
        <v>106</v>
      </c>
      <c r="AI80" s="36" t="n">
        <v>3</v>
      </c>
      <c r="AJ80" s="90" t="n">
        <v>23.5</v>
      </c>
      <c r="AK80" s="35" t="n">
        <v>87</v>
      </c>
      <c r="AL80" s="36" t="n">
        <v>1</v>
      </c>
      <c r="AM80" s="90" t="n">
        <v>25</v>
      </c>
      <c r="AN80" s="35" t="n">
        <v>100</v>
      </c>
      <c r="AO80" s="36" t="n">
        <v>4</v>
      </c>
      <c r="AP80" s="90" t="n">
        <v>25</v>
      </c>
      <c r="AQ80" s="58" t="n">
        <v>96</v>
      </c>
      <c r="AR80" s="45" t="n">
        <v>4</v>
      </c>
      <c r="AS80" s="37">
        <f>SUM(I80+L80+O80+R80+U80+X80+AA80+AD80+AG80+AJ80+AM80+AP80)</f>
        <v/>
      </c>
      <c r="AT80" s="38">
        <f>SUM(J80+M80+P80+S80+V80+Y80+AB80+AE80+AH80+AK80+AN80+AQ80)</f>
        <v/>
      </c>
      <c r="AU80" s="38">
        <f>SUM(K80+N80+Q80+T80+W80+Z80+AC80+AF80+AI80+AL80+AO80+AR80)</f>
        <v/>
      </c>
      <c r="AV80" s="85" t="inlineStr">
        <is>
          <t>OT SEWING</t>
        </is>
      </c>
    </row>
    <row r="81">
      <c r="A81" s="13" t="n">
        <v>77</v>
      </c>
      <c r="B81" s="241" t="inlineStr">
        <is>
          <t>น.ส.</t>
        </is>
      </c>
      <c r="C81" s="241" t="inlineStr">
        <is>
          <t>สุวรรณ</t>
        </is>
      </c>
      <c r="D81" s="74" t="inlineStr">
        <is>
          <t>รุ่งเรือง</t>
        </is>
      </c>
      <c r="E81" s="94" t="n">
        <v>348</v>
      </c>
      <c r="F81" s="79" t="n">
        <v>241848</v>
      </c>
      <c r="G81" s="56" t="inlineStr">
        <is>
          <t>เสมียนโรงเย็บ</t>
        </is>
      </c>
      <c r="H81" s="257" t="n"/>
      <c r="I81" s="19" t="n">
        <v>23</v>
      </c>
      <c r="J81" s="19" t="n">
        <v>84</v>
      </c>
      <c r="K81" s="60" t="n"/>
      <c r="L81" s="57" t="n">
        <v>24</v>
      </c>
      <c r="M81" s="58" t="n">
        <v>92</v>
      </c>
      <c r="N81" s="45" t="n"/>
      <c r="O81" s="25" t="n">
        <v>24</v>
      </c>
      <c r="P81" s="76" t="n">
        <v>88</v>
      </c>
      <c r="Q81" s="77" t="n"/>
      <c r="R81" s="51" t="n">
        <v>21.5</v>
      </c>
      <c r="S81" s="52" t="n">
        <v>76</v>
      </c>
      <c r="T81" s="53" t="n"/>
      <c r="U81" s="66" t="n">
        <v>26</v>
      </c>
      <c r="V81" s="67" t="n">
        <v>100</v>
      </c>
      <c r="W81" s="68" t="n"/>
      <c r="X81" s="54" t="n">
        <v>24</v>
      </c>
      <c r="Y81" s="55" t="n">
        <v>96</v>
      </c>
      <c r="Z81" s="56" t="n">
        <v>1</v>
      </c>
      <c r="AA81" s="18" t="n">
        <v>26</v>
      </c>
      <c r="AB81" s="93" t="n">
        <v>104</v>
      </c>
      <c r="AC81" s="92" t="n">
        <v>5</v>
      </c>
      <c r="AD81" s="54" t="n">
        <v>25</v>
      </c>
      <c r="AE81" s="55" t="n">
        <v>100</v>
      </c>
      <c r="AF81" s="56" t="n">
        <v>4</v>
      </c>
      <c r="AG81" s="57" t="n">
        <v>19.5</v>
      </c>
      <c r="AH81" s="58" t="n">
        <v>76</v>
      </c>
      <c r="AI81" s="45" t="n">
        <v>2</v>
      </c>
      <c r="AJ81" s="57" t="n">
        <v>25</v>
      </c>
      <c r="AK81" s="58" t="n">
        <v>99</v>
      </c>
      <c r="AL81" s="45" t="n">
        <v>4</v>
      </c>
      <c r="AM81" s="57" t="n">
        <v>25</v>
      </c>
      <c r="AN81" s="58" t="n">
        <v>100</v>
      </c>
      <c r="AO81" s="45" t="n">
        <v>2</v>
      </c>
      <c r="AP81" s="57" t="n">
        <v>25</v>
      </c>
      <c r="AQ81" s="35" t="n">
        <v>96</v>
      </c>
      <c r="AR81" s="36" t="n">
        <v>4</v>
      </c>
      <c r="AS81" s="37">
        <f>SUM(I81+L81+O81+R81+U81+X81+AA81+AD81+AG81+AJ81+AM81+AP81)</f>
        <v/>
      </c>
      <c r="AT81" s="38">
        <f>SUM(J81+M81+P81+S81+V81+Y81+AB81+AE81+AH81+AK81+AN81+AQ81)</f>
        <v/>
      </c>
      <c r="AU81" s="38">
        <f>SUM(K81+N81+Q81+T81+W81+Z81+AC81+AF81+AI81+AL81+AO81+AR81)</f>
        <v/>
      </c>
      <c r="AV81" s="85" t="inlineStr">
        <is>
          <t>OT SEWING</t>
        </is>
      </c>
    </row>
    <row r="82">
      <c r="A82" s="13" t="n">
        <v>78</v>
      </c>
      <c r="B82" s="241" t="inlineStr">
        <is>
          <t>นาง</t>
        </is>
      </c>
      <c r="C82" s="241" t="inlineStr">
        <is>
          <t>สำรอง</t>
        </is>
      </c>
      <c r="D82" s="74" t="inlineStr">
        <is>
          <t>ทั่งทอง</t>
        </is>
      </c>
      <c r="E82" s="94" t="n">
        <v>357</v>
      </c>
      <c r="F82" s="79" t="n">
        <v>243822</v>
      </c>
      <c r="G82" s="32" t="inlineStr">
        <is>
          <t>แม่บ้าน</t>
        </is>
      </c>
      <c r="H82" s="258" t="n"/>
      <c r="I82" s="19" t="n">
        <v>25</v>
      </c>
      <c r="J82" s="19" t="n">
        <v>92</v>
      </c>
      <c r="K82" s="60" t="n">
        <v>1</v>
      </c>
      <c r="L82" s="57" t="n">
        <v>24</v>
      </c>
      <c r="M82" s="58" t="n">
        <v>98</v>
      </c>
      <c r="N82" s="45" t="n">
        <v>4</v>
      </c>
      <c r="O82" s="25" t="n">
        <v>26</v>
      </c>
      <c r="P82" s="76" t="n">
        <v>94</v>
      </c>
      <c r="Q82" s="77" t="n"/>
      <c r="R82" s="51" t="n">
        <v>23</v>
      </c>
      <c r="S82" s="52" t="n">
        <v>84</v>
      </c>
      <c r="T82" s="53" t="n"/>
      <c r="U82" s="66" t="n">
        <v>24</v>
      </c>
      <c r="V82" s="67" t="n">
        <v>92</v>
      </c>
      <c r="W82" s="68" t="n"/>
      <c r="X82" s="18" t="n">
        <v>23</v>
      </c>
      <c r="Y82" s="93" t="n">
        <v>95.5</v>
      </c>
      <c r="Z82" s="92" t="n">
        <v>2</v>
      </c>
      <c r="AA82" s="18" t="n">
        <v>26</v>
      </c>
      <c r="AB82" s="93" t="n">
        <v>106</v>
      </c>
      <c r="AC82" s="92" t="n">
        <v>5</v>
      </c>
      <c r="AD82" s="18" t="n">
        <v>25</v>
      </c>
      <c r="AE82" s="93" t="n">
        <v>119.5</v>
      </c>
      <c r="AF82" s="92" t="n">
        <v>6</v>
      </c>
      <c r="AG82" s="90" t="n">
        <v>26</v>
      </c>
      <c r="AH82" s="35" t="n">
        <v>122</v>
      </c>
      <c r="AI82" s="36" t="n">
        <v>3</v>
      </c>
      <c r="AJ82" s="90" t="n">
        <v>26</v>
      </c>
      <c r="AK82" s="35" t="n">
        <v>109</v>
      </c>
      <c r="AL82" s="36" t="n">
        <v>4</v>
      </c>
      <c r="AM82" s="90" t="n">
        <v>24.5</v>
      </c>
      <c r="AN82" s="35" t="n">
        <v>99</v>
      </c>
      <c r="AO82" s="36" t="n">
        <v>4</v>
      </c>
      <c r="AP82" s="90" t="n">
        <v>25</v>
      </c>
      <c r="AQ82" s="35" t="n">
        <v>97</v>
      </c>
      <c r="AR82" s="36" t="n">
        <v>4</v>
      </c>
      <c r="AS82" s="37">
        <f>SUM(I82+L82+O82+R82+U82+X82+AA82+AD82+AG82+AJ82+AM82+AP82)</f>
        <v/>
      </c>
      <c r="AT82" s="38">
        <f>SUM(J82+M82+P82+S82+V82+Y82+AB82+AE82+AH82+AK82+AN82+AQ82)</f>
        <v/>
      </c>
      <c r="AU82" s="38">
        <f>SUM(K82+N82+Q82+T82+W82+Z82+AC82+AF82+AI82+AL82+AO82+AR82)</f>
        <v/>
      </c>
      <c r="AV82" s="85" t="inlineStr">
        <is>
          <t>OT SEWING</t>
        </is>
      </c>
    </row>
    <row r="83">
      <c r="A83" s="13" t="n">
        <v>79</v>
      </c>
      <c r="B83" s="241" t="inlineStr">
        <is>
          <t>นาย</t>
        </is>
      </c>
      <c r="C83" s="241" t="inlineStr">
        <is>
          <t>หวัน</t>
        </is>
      </c>
      <c r="D83" s="74" t="inlineStr">
        <is>
          <t>ใจวกุล</t>
        </is>
      </c>
      <c r="E83" s="94" t="n">
        <v>358</v>
      </c>
      <c r="F83" s="59" t="n">
        <v>238004</v>
      </c>
      <c r="G83" s="32" t="inlineStr">
        <is>
          <t>ทั่วไป</t>
        </is>
      </c>
      <c r="H83" s="258" t="n"/>
      <c r="I83" s="19" t="n">
        <v>24</v>
      </c>
      <c r="J83" s="19" t="n">
        <v>98</v>
      </c>
      <c r="K83" s="60" t="n">
        <v>1</v>
      </c>
      <c r="L83" s="57" t="n">
        <v>24</v>
      </c>
      <c r="M83" s="58" t="n">
        <v>96</v>
      </c>
      <c r="N83" s="45" t="n">
        <v>2</v>
      </c>
      <c r="O83" s="25" t="n">
        <v>25</v>
      </c>
      <c r="P83" s="19" t="n">
        <v>92</v>
      </c>
      <c r="Q83" s="60" t="n"/>
      <c r="R83" s="51" t="n">
        <v>21</v>
      </c>
      <c r="S83" s="52" t="n">
        <v>76</v>
      </c>
      <c r="T83" s="53" t="n"/>
      <c r="U83" s="66" t="n">
        <v>26</v>
      </c>
      <c r="V83" s="67" t="n">
        <v>96</v>
      </c>
      <c r="W83" s="68" t="n"/>
      <c r="X83" s="114" t="n">
        <v>24</v>
      </c>
      <c r="Y83" s="115" t="n">
        <v>92</v>
      </c>
      <c r="Z83" s="116" t="n"/>
      <c r="AA83" s="54" t="n">
        <v>22</v>
      </c>
      <c r="AB83" s="55" t="n">
        <v>88</v>
      </c>
      <c r="AC83" s="56" t="n"/>
      <c r="AD83" s="114" t="n">
        <v>25</v>
      </c>
      <c r="AE83" s="115" t="n">
        <v>100</v>
      </c>
      <c r="AF83" s="116" t="n"/>
      <c r="AG83" s="90" t="n">
        <v>26</v>
      </c>
      <c r="AH83" s="35" t="n">
        <v>106</v>
      </c>
      <c r="AI83" s="36" t="n"/>
      <c r="AJ83" s="90" t="n">
        <v>25</v>
      </c>
      <c r="AK83" s="35" t="n">
        <v>99</v>
      </c>
      <c r="AL83" s="36" t="n"/>
      <c r="AM83" s="90" t="n">
        <v>25</v>
      </c>
      <c r="AN83" s="35" t="n">
        <v>100</v>
      </c>
      <c r="AO83" s="36" t="n"/>
      <c r="AP83" s="90" t="n">
        <v>23</v>
      </c>
      <c r="AQ83" s="72" t="n">
        <v>88</v>
      </c>
      <c r="AR83" s="73" t="n"/>
      <c r="AS83" s="37">
        <f>SUM(I83+L83+O83+R83+U83+X83+AA83+AD83+AG83+AJ83+AM83+AP83)</f>
        <v/>
      </c>
      <c r="AT83" s="38">
        <f>SUM(J83+M83+P83+S83+V83+Y83+AB83+AE83+AH83+AK83+AN83+AQ83)</f>
        <v/>
      </c>
      <c r="AU83" s="38">
        <f>SUM(K83+N83+Q83+T83+W83+Z83+AC83+AF83+AI83+AL83+AO83+AR83)</f>
        <v/>
      </c>
      <c r="AV83" s="85" t="inlineStr">
        <is>
          <t>OT SEWING</t>
        </is>
      </c>
    </row>
    <row r="84">
      <c r="A84" s="13" t="n">
        <v>80</v>
      </c>
      <c r="B84" s="241" t="inlineStr">
        <is>
          <t>นาย</t>
        </is>
      </c>
      <c r="C84" s="241" t="inlineStr">
        <is>
          <t>อร่าม</t>
        </is>
      </c>
      <c r="D84" s="74" t="inlineStr">
        <is>
          <t>เข็มเงิน</t>
        </is>
      </c>
      <c r="E84" s="94" t="n">
        <v>358</v>
      </c>
      <c r="F84" s="79" t="n">
        <v>235377</v>
      </c>
      <c r="G84" s="32" t="inlineStr">
        <is>
          <t>ทั่วไป</t>
        </is>
      </c>
      <c r="H84" s="258" t="n"/>
      <c r="I84" s="19" t="n">
        <v>25</v>
      </c>
      <c r="J84" s="19" t="n">
        <v>92</v>
      </c>
      <c r="K84" s="60" t="n"/>
      <c r="L84" s="57" t="n">
        <v>22</v>
      </c>
      <c r="M84" s="58" t="n">
        <v>80</v>
      </c>
      <c r="N84" s="45" t="n"/>
      <c r="O84" s="25" t="n">
        <v>24.5</v>
      </c>
      <c r="P84" s="19" t="n">
        <v>84</v>
      </c>
      <c r="Q84" s="60" t="n"/>
      <c r="R84" s="51" t="n">
        <v>22</v>
      </c>
      <c r="S84" s="52" t="n">
        <v>72</v>
      </c>
      <c r="T84" s="53" t="n"/>
      <c r="U84" s="66" t="n">
        <v>24</v>
      </c>
      <c r="V84" s="67" t="n">
        <v>88</v>
      </c>
      <c r="W84" s="68" t="n"/>
      <c r="X84" s="66" t="n">
        <v>24</v>
      </c>
      <c r="Y84" s="67" t="n">
        <v>84</v>
      </c>
      <c r="Z84" s="68" t="n"/>
      <c r="AA84" s="114" t="n">
        <v>25.5</v>
      </c>
      <c r="AB84" s="115" t="n">
        <v>100</v>
      </c>
      <c r="AC84" s="116" t="n"/>
      <c r="AD84" s="66" t="n">
        <v>24</v>
      </c>
      <c r="AE84" s="67" t="n">
        <v>92</v>
      </c>
      <c r="AF84" s="68" t="n"/>
      <c r="AG84" s="57" t="n">
        <v>24.5</v>
      </c>
      <c r="AH84" s="58" t="n">
        <v>88</v>
      </c>
      <c r="AI84" s="45" t="n"/>
      <c r="AJ84" s="57" t="n">
        <v>23</v>
      </c>
      <c r="AK84" s="58" t="n">
        <v>91</v>
      </c>
      <c r="AL84" s="45" t="n"/>
      <c r="AM84" s="57" t="n">
        <v>25</v>
      </c>
      <c r="AN84" s="58" t="n">
        <v>96</v>
      </c>
      <c r="AO84" s="45" t="n"/>
      <c r="AP84" s="57" t="n">
        <v>23</v>
      </c>
      <c r="AQ84" s="72" t="n">
        <v>84</v>
      </c>
      <c r="AR84" s="73" t="n"/>
      <c r="AS84" s="37">
        <f>SUM(I84+L84+O84+R84+U84+X84+AA84+AD84+AG84+AJ84+AM84+AP84)</f>
        <v/>
      </c>
      <c r="AT84" s="38">
        <f>SUM(J84+M84+P84+S84+V84+Y84+AB84+AE84+AH84+AK84+AN84+AQ84)</f>
        <v/>
      </c>
      <c r="AU84" s="38">
        <f>SUM(K84+N84+Q84+T84+W84+Z84+AC84+AF84+AI84+AL84+AO84+AR84)</f>
        <v/>
      </c>
      <c r="AV84" s="85" t="inlineStr">
        <is>
          <t>OT SEWING</t>
        </is>
      </c>
    </row>
    <row r="85">
      <c r="A85" s="13" t="n">
        <v>81</v>
      </c>
      <c r="B85" s="241" t="inlineStr">
        <is>
          <t>น.ส.</t>
        </is>
      </c>
      <c r="C85" s="241" t="inlineStr">
        <is>
          <t>อัญชลี</t>
        </is>
      </c>
      <c r="D85" s="74" t="inlineStr">
        <is>
          <t>อุ่มแสง</t>
        </is>
      </c>
      <c r="E85" s="94" t="n">
        <v>348</v>
      </c>
      <c r="F85" s="41" t="n">
        <v>239933</v>
      </c>
      <c r="G85" s="32" t="inlineStr">
        <is>
          <t>ทั่วไป</t>
        </is>
      </c>
      <c r="H85" s="258" t="n"/>
      <c r="I85" s="19" t="n">
        <v>22</v>
      </c>
      <c r="J85" s="19" t="n"/>
      <c r="K85" s="60" t="n"/>
      <c r="L85" s="57" t="n">
        <v>22</v>
      </c>
      <c r="M85" s="58" t="n"/>
      <c r="N85" s="45" t="n"/>
      <c r="O85" s="25" t="n">
        <v>22</v>
      </c>
      <c r="P85" s="43" t="n"/>
      <c r="Q85" s="47" t="n"/>
      <c r="R85" s="51" t="n">
        <v>21</v>
      </c>
      <c r="S85" s="52" t="n"/>
      <c r="T85" s="53" t="n"/>
      <c r="U85" s="66" t="n">
        <v>23.5</v>
      </c>
      <c r="V85" s="67" t="n"/>
      <c r="W85" s="68" t="n"/>
      <c r="X85" s="114" t="n">
        <v>12</v>
      </c>
      <c r="Y85" s="115" t="n"/>
      <c r="Z85" s="116" t="n"/>
      <c r="AA85" s="66" t="n">
        <v>25.5</v>
      </c>
      <c r="AB85" s="67" t="n"/>
      <c r="AC85" s="68" t="n"/>
      <c r="AD85" s="114" t="n">
        <v>22.5</v>
      </c>
      <c r="AE85" s="115" t="n"/>
      <c r="AF85" s="116" t="n"/>
      <c r="AG85" s="90" t="n">
        <v>24.5</v>
      </c>
      <c r="AH85" s="35" t="n"/>
      <c r="AI85" s="36" t="n"/>
      <c r="AJ85" s="90" t="n">
        <v>18</v>
      </c>
      <c r="AK85" s="35" t="n"/>
      <c r="AL85" s="36" t="n"/>
      <c r="AM85" s="90" t="n">
        <v>22</v>
      </c>
      <c r="AN85" s="35" t="n"/>
      <c r="AO85" s="36" t="n"/>
      <c r="AP85" s="90" t="n">
        <v>23</v>
      </c>
      <c r="AQ85" s="72" t="n"/>
      <c r="AR85" s="73" t="n"/>
      <c r="AS85" s="37">
        <f>SUM(I85+L85+O85+R85+U85+X85+AA85+AD85+AG85+AJ85+AM85+AP85)</f>
        <v/>
      </c>
      <c r="AT85" s="38">
        <f>SUM(J85+M85+P85+S85+V85+Y85+AB85+AE85+AH85+AK85+AN85+AQ85)</f>
        <v/>
      </c>
      <c r="AU85" s="38">
        <f>SUM(K85+N85+Q85+T85+W85+Z85+AC85+AF85+AI85+AL85+AO85+AR85)</f>
        <v/>
      </c>
      <c r="AV85" s="85" t="inlineStr">
        <is>
          <t>OT SEWING</t>
        </is>
      </c>
    </row>
    <row r="86">
      <c r="A86" s="13" t="n">
        <v>82</v>
      </c>
      <c r="B86" s="241" t="inlineStr">
        <is>
          <t>น.ส.</t>
        </is>
      </c>
      <c r="C86" s="241" t="inlineStr">
        <is>
          <t>อุบลรัตน์</t>
        </is>
      </c>
      <c r="D86" s="64" t="inlineStr">
        <is>
          <t>ทั่งทอง</t>
        </is>
      </c>
      <c r="E86" s="111" t="n">
        <v>352</v>
      </c>
      <c r="F86" s="59" t="n">
        <v>239357</v>
      </c>
      <c r="G86" s="32" t="inlineStr">
        <is>
          <t>เย็บผ้า</t>
        </is>
      </c>
      <c r="H86" s="258" t="n"/>
      <c r="I86" s="19" t="n">
        <v>22.5</v>
      </c>
      <c r="J86" s="19" t="n">
        <v>72</v>
      </c>
      <c r="K86" s="60" t="n"/>
      <c r="L86" s="57" t="n">
        <v>24</v>
      </c>
      <c r="M86" s="58" t="n">
        <v>92</v>
      </c>
      <c r="N86" s="45" t="n">
        <v>2</v>
      </c>
      <c r="O86" s="25" t="n">
        <v>24.5</v>
      </c>
      <c r="P86" s="19" t="n">
        <v>76</v>
      </c>
      <c r="Q86" s="60" t="n"/>
      <c r="R86" s="51" t="n">
        <v>20.5</v>
      </c>
      <c r="S86" s="52" t="n">
        <v>56</v>
      </c>
      <c r="T86" s="53" t="n"/>
      <c r="U86" s="66" t="n">
        <v>24.5</v>
      </c>
      <c r="V86" s="67" t="n">
        <v>92</v>
      </c>
      <c r="W86" s="68" t="n"/>
      <c r="X86" s="66" t="n">
        <v>24</v>
      </c>
      <c r="Y86" s="67" t="n">
        <v>92.5</v>
      </c>
      <c r="Z86" s="68" t="n">
        <v>2</v>
      </c>
      <c r="AA86" s="66" t="n">
        <v>26</v>
      </c>
      <c r="AB86" s="67" t="n">
        <v>104</v>
      </c>
      <c r="AC86" s="68" t="n">
        <v>3</v>
      </c>
      <c r="AD86" s="66" t="n">
        <v>17.5</v>
      </c>
      <c r="AE86" s="67" t="n">
        <v>64</v>
      </c>
      <c r="AF86" s="68" t="n">
        <v>1</v>
      </c>
      <c r="AG86" s="57" t="n">
        <v>25.5</v>
      </c>
      <c r="AH86" s="58" t="n">
        <v>96</v>
      </c>
      <c r="AI86" s="45" t="n">
        <v>3</v>
      </c>
      <c r="AJ86" s="57" t="n">
        <v>19.5</v>
      </c>
      <c r="AK86" s="58" t="n">
        <v>71</v>
      </c>
      <c r="AL86" s="45" t="n">
        <v>1</v>
      </c>
      <c r="AM86" s="57" t="n">
        <v>25</v>
      </c>
      <c r="AN86" s="58" t="n">
        <v>100</v>
      </c>
      <c r="AO86" s="45" t="n">
        <v>3</v>
      </c>
      <c r="AP86" s="57" t="n">
        <v>25</v>
      </c>
      <c r="AQ86" s="72" t="n">
        <v>96</v>
      </c>
      <c r="AR86" s="73" t="n">
        <v>4</v>
      </c>
      <c r="AS86" s="37">
        <f>SUM(I86+L86+O86+R86+U86+X86+AA86+AD86+AG86+AJ86+AM86+AP86)</f>
        <v/>
      </c>
      <c r="AT86" s="38">
        <f>SUM(J86+M86+P86+S86+V86+Y86+AB86+AE86+AH86+AK86+AN86+AQ86)</f>
        <v/>
      </c>
      <c r="AU86" s="38">
        <f>SUM(K86+N86+Q86+T86+W86+Z86+AC86+AF86+AI86+AL86+AO86+AR86)</f>
        <v/>
      </c>
      <c r="AV86" s="85" t="inlineStr">
        <is>
          <t>OT SEWING</t>
        </is>
      </c>
    </row>
    <row r="87">
      <c r="A87" s="13" t="n">
        <v>83</v>
      </c>
      <c r="B87" s="241" t="inlineStr">
        <is>
          <t>น.ส.</t>
        </is>
      </c>
      <c r="C87" s="241" t="inlineStr">
        <is>
          <t>ชลันดา</t>
        </is>
      </c>
      <c r="D87" s="64" t="inlineStr">
        <is>
          <t>ราชวงศ์</t>
        </is>
      </c>
      <c r="E87" s="91" t="n">
        <v>348</v>
      </c>
      <c r="F87" s="79" t="n">
        <v>244159</v>
      </c>
      <c r="G87" s="32" t="inlineStr">
        <is>
          <t>เย็บผ้า</t>
        </is>
      </c>
      <c r="H87" s="258" t="n"/>
      <c r="I87" s="19" t="n"/>
      <c r="J87" s="19" t="n"/>
      <c r="K87" s="60" t="n"/>
      <c r="L87" s="57" t="n"/>
      <c r="M87" s="58" t="n"/>
      <c r="N87" s="45" t="n"/>
      <c r="O87" s="25" t="n"/>
      <c r="P87" s="76" t="n"/>
      <c r="Q87" s="77" t="n"/>
      <c r="R87" s="51" t="n"/>
      <c r="S87" s="52" t="n"/>
      <c r="T87" s="53" t="n"/>
      <c r="U87" s="66" t="n"/>
      <c r="V87" s="67" t="n"/>
      <c r="W87" s="68" t="n"/>
      <c r="X87" s="114" t="n">
        <v>6</v>
      </c>
      <c r="Y87" s="115" t="n">
        <v>24</v>
      </c>
      <c r="Z87" s="116" t="n">
        <v>1</v>
      </c>
      <c r="AA87" s="114" t="n">
        <v>26</v>
      </c>
      <c r="AB87" s="115" t="n">
        <v>104</v>
      </c>
      <c r="AC87" s="116" t="n">
        <v>5</v>
      </c>
      <c r="AD87" s="114" t="n">
        <v>23</v>
      </c>
      <c r="AE87" s="115" t="n">
        <v>88</v>
      </c>
      <c r="AF87" s="116" t="n">
        <v>4</v>
      </c>
      <c r="AG87" s="90" t="n">
        <v>26</v>
      </c>
      <c r="AH87" s="35" t="n">
        <v>106</v>
      </c>
      <c r="AI87" s="36" t="n">
        <v>3</v>
      </c>
      <c r="AJ87" s="90" t="n">
        <v>26</v>
      </c>
      <c r="AK87" s="35" t="n">
        <v>99</v>
      </c>
      <c r="AL87" s="36" t="n">
        <v>2</v>
      </c>
      <c r="AM87" s="90" t="n">
        <v>24</v>
      </c>
      <c r="AN87" s="35" t="n">
        <v>92</v>
      </c>
      <c r="AO87" s="36" t="n">
        <v>3</v>
      </c>
      <c r="AP87" s="90" t="n">
        <v>24</v>
      </c>
      <c r="AQ87" s="72" t="n">
        <v>76</v>
      </c>
      <c r="AR87" s="73" t="n">
        <v>2</v>
      </c>
      <c r="AS87" s="37">
        <f>SUM(I87+L87+O87+R87+U87+X87+AA87+AD87+AG87+AJ87+AM87+AP87)</f>
        <v/>
      </c>
      <c r="AT87" s="38">
        <f>SUM(J87+M87+P87+S87+V87+Y87+AB87+AE87+AH87+AK87+AN87+AQ87)</f>
        <v/>
      </c>
      <c r="AU87" s="38">
        <f>SUM(K87+N87+Q87+T87+W87+Z87+AC87+AF87+AI87+AL87+AO87+AR87)</f>
        <v/>
      </c>
      <c r="AV87" s="85" t="inlineStr">
        <is>
          <t>OT SEWING</t>
        </is>
      </c>
    </row>
    <row r="88">
      <c r="A88" s="13" t="n">
        <v>84</v>
      </c>
      <c r="B88" s="241" t="inlineStr">
        <is>
          <t>น.ส.</t>
        </is>
      </c>
      <c r="C88" s="241" t="inlineStr">
        <is>
          <t>กาญจนา</t>
        </is>
      </c>
      <c r="D88" s="14" t="inlineStr">
        <is>
          <t>จุ้ยเปี่ยม</t>
        </is>
      </c>
      <c r="E88" s="65" t="inlineStr">
        <is>
          <t>348</t>
        </is>
      </c>
      <c r="F88" s="79" t="n">
        <v>244194</v>
      </c>
      <c r="G88" s="32" t="inlineStr">
        <is>
          <t>เย็บผ้า</t>
        </is>
      </c>
      <c r="H88" s="258" t="n"/>
      <c r="I88" s="19" t="n"/>
      <c r="J88" s="19" t="n"/>
      <c r="K88" s="60" t="n"/>
      <c r="L88" s="57" t="n"/>
      <c r="M88" s="58" t="n"/>
      <c r="N88" s="45" t="n"/>
      <c r="O88" s="25" t="n"/>
      <c r="P88" s="76" t="n"/>
      <c r="Q88" s="77" t="n"/>
      <c r="R88" s="51" t="n"/>
      <c r="S88" s="52" t="n"/>
      <c r="T88" s="53" t="n"/>
      <c r="U88" s="66" t="n"/>
      <c r="V88" s="67" t="n"/>
      <c r="W88" s="68" t="n"/>
      <c r="X88" s="114" t="n"/>
      <c r="Y88" s="115" t="n"/>
      <c r="Z88" s="116" t="n"/>
      <c r="AA88" s="114" t="n">
        <v>3</v>
      </c>
      <c r="AB88" s="115" t="n">
        <v>12</v>
      </c>
      <c r="AC88" s="116" t="n"/>
      <c r="AD88" s="114" t="n">
        <v>23</v>
      </c>
      <c r="AE88" s="115" t="n">
        <v>92</v>
      </c>
      <c r="AF88" s="116" t="n"/>
      <c r="AG88" s="90" t="n">
        <v>25</v>
      </c>
      <c r="AH88" s="35" t="n">
        <v>100</v>
      </c>
      <c r="AI88" s="36" t="n">
        <v>1</v>
      </c>
      <c r="AJ88" s="90" t="n">
        <v>26</v>
      </c>
      <c r="AK88" s="35" t="n">
        <v>99</v>
      </c>
      <c r="AL88" s="36" t="n">
        <v>2</v>
      </c>
      <c r="AM88" s="90" t="n">
        <v>24</v>
      </c>
      <c r="AN88" s="35" t="n">
        <v>88</v>
      </c>
      <c r="AO88" s="36" t="n"/>
      <c r="AP88" s="90" t="n">
        <v>25</v>
      </c>
      <c r="AQ88" s="72" t="n">
        <v>96</v>
      </c>
      <c r="AR88" s="73" t="n">
        <v>2</v>
      </c>
      <c r="AS88" s="37">
        <f>SUM(I88+L88+O88+R88+U88+X88+AA88+AD88+AG88+AJ88+AM88+AP88)</f>
        <v/>
      </c>
      <c r="AT88" s="38">
        <f>SUM(J88+M88+P88+S88+V88+Y88+AB88+AE88+AH88+AK88+AN88+AQ88)</f>
        <v/>
      </c>
      <c r="AU88" s="38">
        <f>SUM(K88+N88+Q88+T88+W88+Z88+AC88+AF88+AI88+AL88+AO88+AR88)</f>
        <v/>
      </c>
      <c r="AV88" s="85" t="inlineStr">
        <is>
          <t>OT SEWING</t>
        </is>
      </c>
    </row>
    <row r="89">
      <c r="A89" s="13" t="n">
        <v>85</v>
      </c>
      <c r="B89" s="241" t="inlineStr">
        <is>
          <t>นาง</t>
        </is>
      </c>
      <c r="C89" s="241" t="inlineStr">
        <is>
          <t>นิรัตน์</t>
        </is>
      </c>
      <c r="D89" s="14" t="inlineStr">
        <is>
          <t>หิรัญวงษ์</t>
        </is>
      </c>
      <c r="E89" s="65" t="inlineStr">
        <is>
          <t>348</t>
        </is>
      </c>
      <c r="F89" s="79" t="n">
        <v>244194</v>
      </c>
      <c r="G89" s="32" t="inlineStr">
        <is>
          <t>ทั่วไป</t>
        </is>
      </c>
      <c r="H89" s="258" t="n"/>
      <c r="I89" s="19" t="n"/>
      <c r="J89" s="19" t="n"/>
      <c r="K89" s="60" t="n"/>
      <c r="L89" s="57" t="n"/>
      <c r="M89" s="58" t="n"/>
      <c r="N89" s="45" t="n"/>
      <c r="O89" s="25" t="n"/>
      <c r="P89" s="76" t="n"/>
      <c r="Q89" s="77" t="n"/>
      <c r="R89" s="51" t="n"/>
      <c r="S89" s="52" t="n"/>
      <c r="T89" s="53" t="n"/>
      <c r="U89" s="66" t="n"/>
      <c r="V89" s="67" t="n"/>
      <c r="W89" s="68" t="n"/>
      <c r="X89" s="114" t="n"/>
      <c r="Y89" s="115" t="n"/>
      <c r="Z89" s="116" t="n"/>
      <c r="AA89" s="114" t="n">
        <v>3</v>
      </c>
      <c r="AB89" s="115" t="n">
        <v>12</v>
      </c>
      <c r="AC89" s="116" t="n"/>
      <c r="AD89" s="114" t="n">
        <v>25</v>
      </c>
      <c r="AE89" s="115" t="n">
        <v>100</v>
      </c>
      <c r="AF89" s="116" t="n">
        <v>6</v>
      </c>
      <c r="AG89" s="90" t="n">
        <v>26</v>
      </c>
      <c r="AH89" s="35" t="n">
        <v>106</v>
      </c>
      <c r="AI89" s="36" t="n">
        <v>3</v>
      </c>
      <c r="AJ89" s="90" t="n">
        <v>24</v>
      </c>
      <c r="AK89" s="35" t="n">
        <v>96</v>
      </c>
      <c r="AL89" s="36" t="n">
        <v>4</v>
      </c>
      <c r="AM89" s="90" t="n">
        <v>24</v>
      </c>
      <c r="AN89" s="35" t="n">
        <v>88</v>
      </c>
      <c r="AO89" s="36" t="n">
        <v>3</v>
      </c>
      <c r="AP89" s="90" t="n">
        <v>25</v>
      </c>
      <c r="AQ89" s="72" t="n">
        <v>96</v>
      </c>
      <c r="AR89" s="73" t="n">
        <v>4</v>
      </c>
      <c r="AS89" s="37">
        <f>SUM(I89+L89+O89+R89+U89+X89+AA89+AD89+AG89+AJ89+AM89+AP89)</f>
        <v/>
      </c>
      <c r="AT89" s="38">
        <f>SUM(J89+M89+P89+S89+V89+Y89+AB89+AE89+AH89+AK89+AN89+AQ89)</f>
        <v/>
      </c>
      <c r="AU89" s="38">
        <f>SUM(K89+N89+Q89+T89+W89+Z89+AC89+AF89+AI89+AL89+AO89+AR89)</f>
        <v/>
      </c>
      <c r="AV89" s="85" t="inlineStr">
        <is>
          <t>OT SEWING</t>
        </is>
      </c>
    </row>
    <row r="90">
      <c r="A90" s="13" t="n">
        <v>86</v>
      </c>
      <c r="B90" s="241" t="inlineStr">
        <is>
          <t>น.ส.</t>
        </is>
      </c>
      <c r="C90" s="241" t="inlineStr">
        <is>
          <t>ขวัญใจ</t>
        </is>
      </c>
      <c r="D90" s="14" t="inlineStr">
        <is>
          <t>ขุนทอง</t>
        </is>
      </c>
      <c r="E90" s="65" t="inlineStr">
        <is>
          <t>348</t>
        </is>
      </c>
      <c r="F90" s="79" t="n">
        <v>244197</v>
      </c>
      <c r="G90" s="32" t="inlineStr">
        <is>
          <t>เย็บผ้า</t>
        </is>
      </c>
      <c r="H90" s="258" t="n"/>
      <c r="I90" s="19" t="n"/>
      <c r="J90" s="19" t="n"/>
      <c r="K90" s="60" t="n"/>
      <c r="L90" s="57" t="n"/>
      <c r="M90" s="58" t="n"/>
      <c r="N90" s="45" t="n"/>
      <c r="O90" s="25" t="n"/>
      <c r="P90" s="76" t="n"/>
      <c r="Q90" s="77" t="n"/>
      <c r="R90" s="51" t="n"/>
      <c r="S90" s="52" t="n"/>
      <c r="T90" s="53" t="n"/>
      <c r="U90" s="66" t="n"/>
      <c r="V90" s="67" t="n"/>
      <c r="W90" s="68" t="n"/>
      <c r="X90" s="114" t="n"/>
      <c r="Y90" s="115" t="n"/>
      <c r="Z90" s="116" t="n"/>
      <c r="AA90" s="114" t="n"/>
      <c r="AB90" s="115" t="n"/>
      <c r="AC90" s="116" t="n"/>
      <c r="AD90" s="114" t="n">
        <v>25</v>
      </c>
      <c r="AE90" s="115" t="n">
        <v>96</v>
      </c>
      <c r="AF90" s="116" t="n">
        <v>3</v>
      </c>
      <c r="AG90" s="90" t="n">
        <v>26</v>
      </c>
      <c r="AH90" s="35" t="n">
        <v>102</v>
      </c>
      <c r="AI90" s="36" t="n">
        <v>2</v>
      </c>
      <c r="AJ90" s="90" t="n">
        <v>26</v>
      </c>
      <c r="AK90" s="35" t="n">
        <v>87</v>
      </c>
      <c r="AL90" s="36" t="n">
        <v>1</v>
      </c>
      <c r="AM90" s="90" t="n">
        <v>23</v>
      </c>
      <c r="AN90" s="35" t="n">
        <v>56</v>
      </c>
      <c r="AO90" s="36" t="n"/>
      <c r="AP90" s="90" t="n">
        <v>25</v>
      </c>
      <c r="AQ90" s="72" t="n">
        <v>84</v>
      </c>
      <c r="AR90" s="73" t="n">
        <v>3</v>
      </c>
      <c r="AS90" s="37">
        <f>SUM(I90+L90+O90+R90+U90+X90+AA90+AD90+AG90+AJ90+AM90+AP90)</f>
        <v/>
      </c>
      <c r="AT90" s="38">
        <f>SUM(J90+M90+P90+S90+V90+Y90+AB90+AE90+AH90+AK90+AN90+AQ90)</f>
        <v/>
      </c>
      <c r="AU90" s="38">
        <f>SUM(K90+N90+Q90+T90+W90+Z90+AC90+AF90+AI90+AL90+AO90+AR90)</f>
        <v/>
      </c>
      <c r="AV90" s="85" t="inlineStr">
        <is>
          <t>OT SEWING</t>
        </is>
      </c>
    </row>
    <row r="91">
      <c r="A91" s="13" t="n">
        <v>87</v>
      </c>
      <c r="B91" s="241" t="inlineStr">
        <is>
          <t>น.ส.</t>
        </is>
      </c>
      <c r="C91" s="241" t="inlineStr">
        <is>
          <t>นพรัตน์</t>
        </is>
      </c>
      <c r="D91" s="14" t="inlineStr">
        <is>
          <t>ธัญญเจริญ</t>
        </is>
      </c>
      <c r="E91" s="65" t="inlineStr">
        <is>
          <t>348</t>
        </is>
      </c>
      <c r="F91" s="79" t="n">
        <v>244197</v>
      </c>
      <c r="G91" s="32" t="inlineStr">
        <is>
          <t>เย็บผ้า</t>
        </is>
      </c>
      <c r="H91" s="258" t="n"/>
      <c r="I91" s="19" t="n"/>
      <c r="J91" s="19" t="n"/>
      <c r="K91" s="60" t="n"/>
      <c r="L91" s="57" t="n"/>
      <c r="M91" s="58" t="n"/>
      <c r="N91" s="45" t="n"/>
      <c r="O91" s="25" t="n"/>
      <c r="P91" s="76" t="n"/>
      <c r="Q91" s="77" t="n"/>
      <c r="R91" s="51" t="n"/>
      <c r="S91" s="52" t="n"/>
      <c r="T91" s="53" t="n"/>
      <c r="U91" s="66" t="n"/>
      <c r="V91" s="67" t="n"/>
      <c r="W91" s="68" t="n"/>
      <c r="X91" s="114" t="n"/>
      <c r="Y91" s="115" t="n"/>
      <c r="Z91" s="116" t="n"/>
      <c r="AA91" s="114" t="n"/>
      <c r="AB91" s="115" t="n"/>
      <c r="AC91" s="116" t="n"/>
      <c r="AD91" s="114" t="n">
        <v>25</v>
      </c>
      <c r="AE91" s="115" t="n">
        <v>100</v>
      </c>
      <c r="AF91" s="116" t="n">
        <v>6</v>
      </c>
      <c r="AG91" s="90" t="n">
        <v>25.5</v>
      </c>
      <c r="AH91" s="35" t="n">
        <v>100</v>
      </c>
      <c r="AI91" s="36" t="n">
        <v>3</v>
      </c>
      <c r="AJ91" s="90" t="n">
        <v>25</v>
      </c>
      <c r="AK91" s="35" t="n">
        <v>91</v>
      </c>
      <c r="AL91" s="36" t="n">
        <v>2</v>
      </c>
      <c r="AM91" s="90" t="n">
        <v>24</v>
      </c>
      <c r="AN91" s="35" t="n">
        <v>96</v>
      </c>
      <c r="AO91" s="36" t="n">
        <v>4</v>
      </c>
      <c r="AP91" s="90" t="n">
        <v>25</v>
      </c>
      <c r="AQ91" s="72" t="n">
        <v>96</v>
      </c>
      <c r="AR91" s="73" t="n">
        <v>4</v>
      </c>
      <c r="AS91" s="37">
        <f>SUM(I91+L91+O91+R91+U91+X91+AA91+AD91+AG91+AJ91+AM91+AP91)</f>
        <v/>
      </c>
      <c r="AT91" s="38">
        <f>SUM(J91+M91+P91+S91+V91+Y91+AB91+AE91+AH91+AK91+AN91+AQ91)</f>
        <v/>
      </c>
      <c r="AU91" s="38">
        <f>SUM(K91+N91+Q91+T91+W91+Z91+AC91+AF91+AI91+AL91+AO91+AR91)</f>
        <v/>
      </c>
      <c r="AV91" s="85" t="inlineStr">
        <is>
          <t>OT SEWING</t>
        </is>
      </c>
    </row>
    <row r="92">
      <c r="A92" s="13" t="n">
        <v>88</v>
      </c>
      <c r="B92" s="241" t="inlineStr">
        <is>
          <t>น.ส.</t>
        </is>
      </c>
      <c r="C92" s="241" t="inlineStr">
        <is>
          <t>ธมลวรรณ</t>
        </is>
      </c>
      <c r="D92" s="14" t="inlineStr">
        <is>
          <t>กระแหน่</t>
        </is>
      </c>
      <c r="E92" s="65" t="inlineStr">
        <is>
          <t>348</t>
        </is>
      </c>
      <c r="F92" s="79" t="n">
        <v>244201</v>
      </c>
      <c r="G92" s="32" t="inlineStr">
        <is>
          <t>เย็บผ้า</t>
        </is>
      </c>
      <c r="H92" s="258" t="n"/>
      <c r="I92" s="19" t="n"/>
      <c r="J92" s="19" t="n"/>
      <c r="K92" s="60" t="n"/>
      <c r="L92" s="57" t="n"/>
      <c r="M92" s="58" t="n"/>
      <c r="N92" s="45" t="n"/>
      <c r="O92" s="25" t="n"/>
      <c r="P92" s="76" t="n"/>
      <c r="Q92" s="77" t="n"/>
      <c r="R92" s="51" t="n"/>
      <c r="S92" s="52" t="n"/>
      <c r="T92" s="53" t="n"/>
      <c r="U92" s="66" t="n"/>
      <c r="V92" s="67" t="n"/>
      <c r="W92" s="68" t="n"/>
      <c r="X92" s="66" t="n"/>
      <c r="Y92" s="67" t="n"/>
      <c r="Z92" s="68" t="n"/>
      <c r="AA92" s="66" t="n"/>
      <c r="AB92" s="67" t="n"/>
      <c r="AC92" s="68" t="n"/>
      <c r="AD92" s="66" t="n">
        <v>22</v>
      </c>
      <c r="AE92" s="67" t="n">
        <v>84</v>
      </c>
      <c r="AF92" s="68" t="n"/>
      <c r="AG92" s="57" t="n">
        <v>25</v>
      </c>
      <c r="AH92" s="58" t="n">
        <v>102</v>
      </c>
      <c r="AI92" s="45" t="n"/>
      <c r="AJ92" s="57" t="n">
        <v>24</v>
      </c>
      <c r="AK92" s="58" t="n">
        <v>87</v>
      </c>
      <c r="AL92" s="45" t="n"/>
      <c r="AM92" s="57" t="n">
        <v>24</v>
      </c>
      <c r="AN92" s="58" t="n">
        <v>88</v>
      </c>
      <c r="AO92" s="45" t="n"/>
      <c r="AP92" s="57" t="n">
        <v>25</v>
      </c>
      <c r="AQ92" s="72" t="n">
        <v>88</v>
      </c>
      <c r="AR92" s="73" t="n"/>
      <c r="AS92" s="37">
        <f>SUM(I92+L92+O92+R92+U92+X92+AA92+AD92+AG92+AJ92+AM92+AP92)</f>
        <v/>
      </c>
      <c r="AT92" s="38">
        <f>SUM(J92+M92+P92+S92+V92+Y92+AB92+AE92+AH92+AK92+AN92+AQ92)</f>
        <v/>
      </c>
      <c r="AU92" s="38">
        <f>SUM(K92+N92+Q92+T92+W92+Z92+AC92+AF92+AI92+AL92+AO92+AR92)</f>
        <v/>
      </c>
      <c r="AV92" s="85" t="inlineStr">
        <is>
          <t>OT SEWING</t>
        </is>
      </c>
    </row>
    <row r="93">
      <c r="A93" s="13" t="n">
        <v>89</v>
      </c>
      <c r="B93" s="241" t="inlineStr">
        <is>
          <t>น.ส.</t>
        </is>
      </c>
      <c r="C93" s="241" t="inlineStr">
        <is>
          <t>ขวัญจิรา</t>
        </is>
      </c>
      <c r="D93" s="14" t="inlineStr">
        <is>
          <t>ใจวกุล</t>
        </is>
      </c>
      <c r="E93" s="118" t="n">
        <v>348</v>
      </c>
      <c r="F93" s="79" t="n">
        <v>244235</v>
      </c>
      <c r="G93" s="32" t="inlineStr">
        <is>
          <t>เย็บผ้า</t>
        </is>
      </c>
      <c r="H93" s="258" t="n"/>
      <c r="I93" s="19" t="n"/>
      <c r="J93" s="19" t="n"/>
      <c r="K93" s="60" t="n"/>
      <c r="L93" s="57" t="n"/>
      <c r="M93" s="58" t="n"/>
      <c r="N93" s="45" t="n"/>
      <c r="O93" s="25" t="n"/>
      <c r="P93" s="76" t="n"/>
      <c r="Q93" s="77" t="n"/>
      <c r="R93" s="51" t="n"/>
      <c r="S93" s="52" t="n"/>
      <c r="T93" s="53" t="n"/>
      <c r="U93" s="66" t="n"/>
      <c r="V93" s="67" t="n"/>
      <c r="W93" s="68" t="n"/>
      <c r="X93" s="114" t="n"/>
      <c r="Y93" s="115" t="n"/>
      <c r="Z93" s="116" t="n"/>
      <c r="AA93" s="114" t="n"/>
      <c r="AB93" s="115" t="n"/>
      <c r="AC93" s="116" t="n"/>
      <c r="AD93" s="114" t="n"/>
      <c r="AE93" s="115" t="n"/>
      <c r="AF93" s="116" t="n"/>
      <c r="AG93" s="90" t="n">
        <v>20</v>
      </c>
      <c r="AH93" s="35" t="n">
        <v>82</v>
      </c>
      <c r="AI93" s="36" t="n">
        <v>2</v>
      </c>
      <c r="AJ93" s="90" t="n">
        <v>25</v>
      </c>
      <c r="AK93" s="35" t="n">
        <v>95</v>
      </c>
      <c r="AL93" s="36" t="n">
        <v>2</v>
      </c>
      <c r="AM93" s="90" t="n">
        <v>24</v>
      </c>
      <c r="AN93" s="35" t="n">
        <v>96</v>
      </c>
      <c r="AO93" s="36" t="n">
        <v>3</v>
      </c>
      <c r="AP93" s="90" t="n">
        <v>25</v>
      </c>
      <c r="AQ93" s="35" t="n">
        <v>80</v>
      </c>
      <c r="AR93" s="36" t="n"/>
      <c r="AS93" s="37">
        <f>SUM(I93+L93+O93+R93+U93+X93+AA93+AD93+AG93+AJ93+AM93+AP93)</f>
        <v/>
      </c>
      <c r="AT93" s="38">
        <f>SUM(J93+M93+P93+S93+V93+Y93+AB93+AE93+AH93+AK93+AN93+AQ93)</f>
        <v/>
      </c>
      <c r="AU93" s="38">
        <f>SUM(K93+N93+Q93+T93+W93+Z93+AC93+AF93+AI93+AL93+AO93+AR93)</f>
        <v/>
      </c>
      <c r="AV93" s="85" t="inlineStr">
        <is>
          <t>OT SEWING</t>
        </is>
      </c>
    </row>
    <row r="94">
      <c r="A94" s="175" t="n"/>
      <c r="B94" s="240" t="n"/>
      <c r="C94" s="170" t="n"/>
      <c r="D94" s="107" t="n"/>
      <c r="E94" s="118" t="n"/>
      <c r="F94" s="79" t="n"/>
      <c r="G94" s="32" t="n"/>
      <c r="H94" s="258" t="n"/>
      <c r="I94" s="19" t="n"/>
      <c r="J94" s="19" t="n"/>
      <c r="K94" s="60" t="n"/>
      <c r="L94" s="57" t="n"/>
      <c r="M94" s="58" t="n"/>
      <c r="N94" s="45" t="n"/>
      <c r="O94" s="25" t="n"/>
      <c r="P94" s="76" t="n"/>
      <c r="Q94" s="77" t="n"/>
      <c r="R94" s="51" t="n"/>
      <c r="S94" s="52" t="n"/>
      <c r="T94" s="53" t="n"/>
      <c r="U94" s="66" t="n"/>
      <c r="V94" s="67" t="n"/>
      <c r="W94" s="68" t="n"/>
      <c r="X94" s="66" t="n"/>
      <c r="Y94" s="67" t="n"/>
      <c r="Z94" s="68" t="n"/>
      <c r="AA94" s="66" t="n"/>
      <c r="AB94" s="67" t="n"/>
      <c r="AC94" s="68" t="n"/>
      <c r="AD94" s="66" t="n"/>
      <c r="AE94" s="67" t="n"/>
      <c r="AF94" s="68" t="n"/>
      <c r="AG94" s="57" t="n"/>
      <c r="AH94" s="58" t="n"/>
      <c r="AI94" s="45" t="n"/>
      <c r="AJ94" s="57" t="n"/>
      <c r="AK94" s="58" t="n"/>
      <c r="AL94" s="45" t="n"/>
      <c r="AM94" s="57" t="n"/>
      <c r="AN94" s="58" t="n"/>
      <c r="AO94" s="45" t="n"/>
      <c r="AP94" s="57" t="n"/>
      <c r="AQ94" s="72" t="n"/>
      <c r="AR94" s="73" t="n"/>
      <c r="AS94" s="37">
        <f>SUM(I94+L94+O94+R94+U94+X94+AA94+AD94+AG94+AJ94+AM94+AP94)</f>
        <v/>
      </c>
      <c r="AT94" s="38">
        <f>SUM(J94+M94+P94+S94+V94+Y94+AB94+AE94+AH94+AK94+AN94+AQ94)</f>
        <v/>
      </c>
      <c r="AU94" s="38">
        <f>SUM(K94+N94+Q94+T94+W94+Z94+AC94+AF94+AI94+AL94+AO94+AR94)</f>
        <v/>
      </c>
    </row>
    <row r="95">
      <c r="A95" s="175" t="n"/>
      <c r="B95" s="240" t="n"/>
      <c r="C95" s="174" t="n"/>
      <c r="D95" s="14" t="n"/>
      <c r="E95" s="118" t="n"/>
      <c r="F95" s="79" t="n"/>
      <c r="G95" s="32" t="n"/>
      <c r="H95" s="258" t="n"/>
      <c r="I95" s="19" t="n"/>
      <c r="J95" s="19" t="n"/>
      <c r="K95" s="60" t="n"/>
      <c r="L95" s="57" t="n"/>
      <c r="M95" s="58" t="n"/>
      <c r="N95" s="45" t="n"/>
      <c r="O95" s="25" t="n"/>
      <c r="P95" s="76" t="n"/>
      <c r="Q95" s="77" t="n"/>
      <c r="R95" s="51" t="n"/>
      <c r="S95" s="52" t="n"/>
      <c r="T95" s="53" t="n"/>
      <c r="U95" s="66" t="n"/>
      <c r="V95" s="67" t="n"/>
      <c r="W95" s="68" t="n"/>
      <c r="X95" s="114" t="n"/>
      <c r="Y95" s="115" t="n"/>
      <c r="Z95" s="116" t="n"/>
      <c r="AA95" s="114" t="n"/>
      <c r="AB95" s="115" t="n"/>
      <c r="AC95" s="116" t="n"/>
      <c r="AD95" s="114" t="n"/>
      <c r="AE95" s="115" t="n"/>
      <c r="AF95" s="116" t="n"/>
      <c r="AG95" s="90" t="n"/>
      <c r="AH95" s="35" t="n"/>
      <c r="AI95" s="36" t="n"/>
      <c r="AJ95" s="90" t="n"/>
      <c r="AK95" s="35" t="n"/>
      <c r="AL95" s="36" t="n"/>
      <c r="AM95" s="90" t="n"/>
      <c r="AN95" s="35" t="n"/>
      <c r="AO95" s="36" t="n"/>
      <c r="AP95" s="90" t="n"/>
      <c r="AQ95" s="58" t="n"/>
      <c r="AR95" s="45" t="n"/>
      <c r="AS95" s="37">
        <f>SUM(I95+L95+O95+R95+U95+X95+AA95+AD95+AG95+AJ95+AM95+AP95)</f>
        <v/>
      </c>
      <c r="AT95" s="38">
        <f>SUM(J95+M95+P95+S95+V95+Y95+AB95+AE95+AH95+AK95+AN95+AQ95)</f>
        <v/>
      </c>
      <c r="AU95" s="38">
        <f>SUM(K95+N95+Q95+T95+W95+Z95+AC95+AF95+AI95+AL95+AO95+AR95)</f>
        <v/>
      </c>
    </row>
    <row r="96">
      <c r="A96" s="175" t="n"/>
      <c r="B96" s="240" t="n"/>
      <c r="C96" s="170" t="n"/>
      <c r="D96" s="107" t="n"/>
      <c r="E96" s="65" t="n"/>
      <c r="F96" s="79" t="n"/>
      <c r="G96" s="117" t="n"/>
      <c r="H96" s="258" t="n"/>
      <c r="I96" s="19" t="n"/>
      <c r="J96" s="19" t="n"/>
      <c r="K96" s="60" t="n"/>
      <c r="L96" s="57" t="n"/>
      <c r="M96" s="58" t="n"/>
      <c r="N96" s="45" t="n"/>
      <c r="O96" s="25" t="n"/>
      <c r="P96" s="19" t="n"/>
      <c r="Q96" s="60" t="n"/>
      <c r="R96" s="51" t="n"/>
      <c r="S96" s="52" t="n"/>
      <c r="T96" s="53" t="n"/>
      <c r="U96" s="66" t="n"/>
      <c r="V96" s="67" t="n"/>
      <c r="W96" s="68" t="n"/>
      <c r="X96" s="66" t="n"/>
      <c r="Y96" s="67" t="n"/>
      <c r="Z96" s="68" t="n"/>
      <c r="AA96" s="66" t="n"/>
      <c r="AB96" s="67" t="n"/>
      <c r="AC96" s="68" t="n"/>
      <c r="AD96" s="66" t="n"/>
      <c r="AE96" s="67" t="n"/>
      <c r="AF96" s="68" t="n"/>
      <c r="AG96" s="57" t="n"/>
      <c r="AH96" s="58" t="n"/>
      <c r="AI96" s="45" t="n"/>
      <c r="AJ96" s="57" t="n"/>
      <c r="AK96" s="58" t="n"/>
      <c r="AL96" s="45" t="n"/>
      <c r="AM96" s="57" t="n"/>
      <c r="AN96" s="58" t="n"/>
      <c r="AO96" s="45" t="n"/>
      <c r="AP96" s="57" t="n"/>
      <c r="AQ96" s="58" t="n"/>
      <c r="AR96" s="45" t="n"/>
      <c r="AS96" s="37">
        <f>SUM(I96+L96+O96+R96+U96+X96+AA96+AD96+AG96+AJ96+AM96+AP96)</f>
        <v/>
      </c>
      <c r="AT96" s="38">
        <f>SUM(J96+M96+P96+S96+V96+Y96+AB96+AE96+AH96+AK96+AN96+AQ96)</f>
        <v/>
      </c>
      <c r="AU96" s="38">
        <f>SUM(K96+N96+Q96+T96+W96+Z96+AC96+AF96+AI96+AL96+AO96+AR96)</f>
        <v/>
      </c>
    </row>
    <row r="97">
      <c r="A97" s="175" t="n"/>
      <c r="B97" s="240" t="n"/>
      <c r="C97" s="174" t="n"/>
      <c r="D97" s="14" t="n"/>
      <c r="E97" s="91" t="n"/>
      <c r="F97" s="79" t="n"/>
      <c r="G97" s="117" t="n"/>
      <c r="H97" s="258" t="n"/>
      <c r="I97" s="19" t="n"/>
      <c r="J97" s="19" t="n"/>
      <c r="K97" s="60" t="n"/>
      <c r="L97" s="57" t="n"/>
      <c r="M97" s="58" t="n"/>
      <c r="N97" s="45" t="n"/>
      <c r="O97" s="25" t="n"/>
      <c r="P97" s="19" t="n"/>
      <c r="Q97" s="60" t="n"/>
      <c r="R97" s="51" t="n"/>
      <c r="S97" s="52" t="n"/>
      <c r="T97" s="53" t="n"/>
      <c r="U97" s="66" t="n"/>
      <c r="V97" s="67" t="n"/>
      <c r="W97" s="68" t="n"/>
      <c r="X97" s="114" t="n"/>
      <c r="Y97" s="115" t="n"/>
      <c r="Z97" s="116" t="n"/>
      <c r="AA97" s="114" t="n"/>
      <c r="AB97" s="115" t="n"/>
      <c r="AC97" s="116" t="n"/>
      <c r="AD97" s="114" t="n"/>
      <c r="AE97" s="115" t="n"/>
      <c r="AF97" s="116" t="n"/>
      <c r="AG97" s="90" t="n"/>
      <c r="AH97" s="35" t="n"/>
      <c r="AI97" s="36" t="n"/>
      <c r="AJ97" s="90" t="n"/>
      <c r="AK97" s="35" t="n"/>
      <c r="AL97" s="36" t="n"/>
      <c r="AM97" s="90" t="n"/>
      <c r="AN97" s="35" t="n"/>
      <c r="AO97" s="36" t="n"/>
      <c r="AP97" s="90" t="n"/>
      <c r="AQ97" s="58" t="n"/>
      <c r="AR97" s="45" t="n"/>
      <c r="AS97" s="37">
        <f>SUM(I97+L97+O97+R97+U97+X97+AA97+AD97+AG97+AJ97+AM97+AP97)</f>
        <v/>
      </c>
      <c r="AT97" s="38">
        <f>SUM(J97+M97+P97+S97+V97+Y97+AB97+AE97+AH97+AK97+AN97+AQ97)</f>
        <v/>
      </c>
      <c r="AU97" s="38">
        <f>SUM(K97+N97+Q97+T97+W97+Z97+AC97+AF97+AI97+AL97+AO97+AR97)</f>
        <v/>
      </c>
    </row>
    <row r="98">
      <c r="A98" s="175" t="n"/>
      <c r="B98" s="240" t="n"/>
      <c r="C98" s="174" t="n"/>
      <c r="D98" s="14" t="n"/>
      <c r="E98" s="91" t="n"/>
      <c r="F98" s="79" t="n"/>
      <c r="G98" s="117" t="n"/>
      <c r="H98" s="258" t="n"/>
      <c r="I98" s="19" t="n"/>
      <c r="J98" s="19" t="n"/>
      <c r="K98" s="60" t="n"/>
      <c r="L98" s="57" t="n"/>
      <c r="M98" s="58" t="n"/>
      <c r="N98" s="45" t="n"/>
      <c r="O98" s="25" t="n"/>
      <c r="P98" s="43" t="n"/>
      <c r="Q98" s="47" t="n"/>
      <c r="R98" s="51" t="n"/>
      <c r="S98" s="52" t="n"/>
      <c r="T98" s="53" t="n"/>
      <c r="U98" s="66" t="n"/>
      <c r="V98" s="67" t="n"/>
      <c r="W98" s="68" t="n"/>
      <c r="X98" s="66" t="n"/>
      <c r="Y98" s="67" t="n"/>
      <c r="Z98" s="68" t="n"/>
      <c r="AA98" s="66" t="n"/>
      <c r="AB98" s="67" t="n"/>
      <c r="AC98" s="68" t="n"/>
      <c r="AD98" s="66" t="n"/>
      <c r="AE98" s="67" t="n"/>
      <c r="AF98" s="68" t="n"/>
      <c r="AG98" s="57" t="n"/>
      <c r="AH98" s="58" t="n"/>
      <c r="AI98" s="45" t="n"/>
      <c r="AJ98" s="57" t="n"/>
      <c r="AK98" s="58" t="n"/>
      <c r="AL98" s="45" t="n"/>
      <c r="AM98" s="57" t="n"/>
      <c r="AN98" s="58" t="n"/>
      <c r="AO98" s="45" t="n"/>
      <c r="AP98" s="57" t="n"/>
      <c r="AQ98" s="35" t="n"/>
      <c r="AR98" s="36" t="n"/>
      <c r="AS98" s="37">
        <f>SUM(I98+L98+O98+R98+U98+X98+AA98+AD98+AG98+AJ98+AM98+AP98)</f>
        <v/>
      </c>
      <c r="AT98" s="38">
        <f>SUM(J98+M98+P98+S98+V98+Y98+AB98+AE98+AH98+AK98+AN98+AQ98)</f>
        <v/>
      </c>
      <c r="AU98" s="38">
        <f>SUM(K98+N98+Q98+T98+W98+Z98+AC98+AF98+AI98+AL98+AO98+AR98)</f>
        <v/>
      </c>
    </row>
    <row r="99">
      <c r="A99" s="175" t="n"/>
      <c r="B99" s="240" t="n"/>
      <c r="C99" s="170" t="n"/>
      <c r="D99" s="107" t="n"/>
      <c r="E99" s="91" t="n"/>
      <c r="F99" s="79" t="n"/>
      <c r="G99" s="176" t="n"/>
      <c r="H99" s="3" t="n"/>
      <c r="I99" s="19" t="n"/>
      <c r="J99" s="19" t="n"/>
      <c r="K99" s="60" t="n"/>
      <c r="L99" s="57" t="n"/>
      <c r="M99" s="58" t="n"/>
      <c r="N99" s="45" t="n"/>
      <c r="O99" s="25" t="n"/>
      <c r="P99" s="76" t="n"/>
      <c r="Q99" s="77" t="n"/>
      <c r="R99" s="51" t="n"/>
      <c r="S99" s="52" t="n"/>
      <c r="T99" s="53" t="n"/>
      <c r="U99" s="66" t="n"/>
      <c r="V99" s="67" t="n"/>
      <c r="W99" s="68" t="n"/>
      <c r="X99" s="90" t="n"/>
      <c r="Y99" s="35" t="n"/>
      <c r="Z99" s="36" t="n"/>
      <c r="AA99" s="90" t="n"/>
      <c r="AB99" s="35" t="n"/>
      <c r="AC99" s="36" t="n"/>
      <c r="AD99" s="90" t="n"/>
      <c r="AE99" s="35" t="n"/>
      <c r="AF99" s="36" t="n"/>
      <c r="AG99" s="90" t="n"/>
      <c r="AH99" s="35" t="n"/>
      <c r="AI99" s="36" t="n"/>
      <c r="AJ99" s="90" t="n"/>
      <c r="AK99" s="35" t="n"/>
      <c r="AL99" s="36" t="n"/>
      <c r="AM99" s="90" t="n"/>
      <c r="AN99" s="35" t="n"/>
      <c r="AO99" s="36" t="n"/>
      <c r="AP99" s="90" t="n"/>
      <c r="AQ99" s="58" t="n"/>
      <c r="AR99" s="45" t="n"/>
      <c r="AS99" s="37">
        <f>SUM(I99+L99+O99+R99+U99+X99+AA99+AD99+AG99+AJ99+AM99+AP99)</f>
        <v/>
      </c>
      <c r="AT99" s="38">
        <f>SUM(J99+M99+P99+S99+V99+Y99+AB99+AE99+AH99+AK99+AN99+AQ99)</f>
        <v/>
      </c>
      <c r="AU99" s="38">
        <f>SUM(K99+N99+Q99+T99+W99+Z99+AC99+AF99+AI99+AL99+AO99+AR99)</f>
        <v/>
      </c>
    </row>
    <row r="100">
      <c r="A100" s="175" t="n"/>
      <c r="B100" s="240" t="n"/>
      <c r="C100" s="170" t="n"/>
      <c r="D100" s="107" t="n"/>
      <c r="E100" s="65" t="n"/>
      <c r="F100" s="79" t="n"/>
      <c r="G100" s="117" t="n"/>
      <c r="H100" s="257" t="n"/>
      <c r="I100" s="19" t="n"/>
      <c r="J100" s="19" t="n"/>
      <c r="K100" s="60" t="n"/>
      <c r="L100" s="57" t="n"/>
      <c r="M100" s="58" t="n"/>
      <c r="N100" s="45" t="n"/>
      <c r="O100" s="25" t="n"/>
      <c r="P100" s="76" t="n"/>
      <c r="Q100" s="77" t="n"/>
      <c r="R100" s="51" t="n"/>
      <c r="S100" s="52" t="n"/>
      <c r="T100" s="53" t="n"/>
      <c r="U100" s="66" t="n"/>
      <c r="V100" s="67" t="n"/>
      <c r="W100" s="68" t="n"/>
      <c r="X100" s="69" t="n"/>
      <c r="Y100" s="71" t="n"/>
      <c r="Z100" s="70" t="n"/>
      <c r="AA100" s="69" t="n"/>
      <c r="AB100" s="71" t="n"/>
      <c r="AC100" s="70" t="n"/>
      <c r="AD100" s="69" t="n"/>
      <c r="AE100" s="71" t="n"/>
      <c r="AF100" s="70" t="n"/>
      <c r="AG100" s="57" t="n"/>
      <c r="AH100" s="58" t="n"/>
      <c r="AI100" s="45" t="n"/>
      <c r="AJ100" s="57" t="n"/>
      <c r="AK100" s="58" t="n"/>
      <c r="AL100" s="45" t="n"/>
      <c r="AM100" s="57" t="n"/>
      <c r="AN100" s="58" t="n"/>
      <c r="AO100" s="45" t="n"/>
      <c r="AP100" s="57" t="n"/>
      <c r="AQ100" s="35" t="n"/>
      <c r="AR100" s="36" t="n"/>
      <c r="AS100" s="37">
        <f>SUM(I100+L100+O100+R100+U100+X100+AA100+AD100+AG100+AJ100+AM100+AP100)</f>
        <v/>
      </c>
      <c r="AT100" s="38">
        <f>SUM(J100+M100+P100+S100+V100+Y100+AB100+AE100+AH100+AK100+AN100+AQ100)</f>
        <v/>
      </c>
      <c r="AU100" s="38">
        <f>SUM(K100+N100+Q100+T100+W100+Z100+AC100+AF100+AI100+AL100+AO100+AR100)</f>
        <v/>
      </c>
    </row>
    <row r="101">
      <c r="A101" s="175" t="n"/>
      <c r="B101" s="240" t="n"/>
      <c r="C101" s="170" t="n"/>
      <c r="D101" s="107" t="n"/>
      <c r="E101" s="65" t="n"/>
      <c r="F101" s="79" t="n"/>
      <c r="G101" s="117" t="n"/>
      <c r="H101" s="172" t="n"/>
      <c r="I101" s="19" t="n"/>
      <c r="J101" s="19" t="n"/>
      <c r="K101" s="60" t="n"/>
      <c r="L101" s="57" t="n"/>
      <c r="M101" s="58" t="n"/>
      <c r="N101" s="45" t="n"/>
      <c r="O101" s="25" t="n"/>
      <c r="P101" s="76" t="n"/>
      <c r="Q101" s="77" t="n"/>
      <c r="R101" s="51" t="n"/>
      <c r="S101" s="52" t="n"/>
      <c r="T101" s="53" t="n"/>
      <c r="U101" s="66" t="n"/>
      <c r="V101" s="67" t="n"/>
      <c r="W101" s="68" t="n"/>
      <c r="X101" s="82" t="n"/>
      <c r="Y101" s="84" t="n"/>
      <c r="Z101" s="83" t="n"/>
      <c r="AA101" s="82" t="n"/>
      <c r="AB101" s="84" t="n"/>
      <c r="AC101" s="83" t="n"/>
      <c r="AD101" s="82" t="n"/>
      <c r="AE101" s="84" t="n"/>
      <c r="AF101" s="83" t="n"/>
      <c r="AG101" s="78" t="n"/>
      <c r="AH101" s="23" t="n"/>
      <c r="AI101" s="24" t="n"/>
      <c r="AJ101" s="78" t="n"/>
      <c r="AK101" s="23" t="n"/>
      <c r="AL101" s="24" t="n"/>
      <c r="AM101" s="78" t="n"/>
      <c r="AN101" s="23" t="n"/>
      <c r="AO101" s="24" t="n"/>
      <c r="AP101" s="78" t="n"/>
      <c r="AQ101" s="72" t="n"/>
      <c r="AR101" s="73" t="n"/>
      <c r="AS101" s="37">
        <f>SUM(I101+L101+O101+R101+U101+X101+AA101+AD101+AG101+AJ101+AM101+AP101)</f>
        <v/>
      </c>
      <c r="AT101" s="38">
        <f>SUM(J101+M101+P101+S101+V101+Y101+AB101+AE101+AH101+AK101+AN101+AQ101)</f>
        <v/>
      </c>
      <c r="AU101" s="38">
        <f>SUM(K101+N101+Q101+T101+W101+Z101+AC101+AF101+AI101+AL101+AO101+AR101)</f>
        <v/>
      </c>
    </row>
    <row r="102">
      <c r="A102" s="175" t="n"/>
      <c r="B102" s="240" t="n"/>
      <c r="C102" s="170" t="n"/>
      <c r="D102" s="107" t="n"/>
      <c r="E102" s="65" t="n"/>
      <c r="F102" s="79" t="n"/>
      <c r="G102" s="117" t="n"/>
      <c r="H102" s="172" t="n"/>
      <c r="I102" s="19" t="n"/>
      <c r="J102" s="19" t="n"/>
      <c r="K102" s="60" t="n"/>
      <c r="L102" s="57" t="n"/>
      <c r="M102" s="58" t="n"/>
      <c r="N102" s="45" t="n"/>
      <c r="O102" s="25" t="n"/>
      <c r="P102" s="76" t="n"/>
      <c r="Q102" s="77" t="n"/>
      <c r="R102" s="51" t="n"/>
      <c r="S102" s="52" t="n"/>
      <c r="T102" s="53" t="n"/>
      <c r="U102" s="66" t="n"/>
      <c r="V102" s="67" t="n"/>
      <c r="W102" s="68" t="n"/>
      <c r="X102" s="87" t="n"/>
      <c r="Y102" s="89" t="n"/>
      <c r="Z102" s="88" t="n"/>
      <c r="AA102" s="87" t="n"/>
      <c r="AB102" s="89" t="n"/>
      <c r="AC102" s="88" t="n"/>
      <c r="AD102" s="87" t="n"/>
      <c r="AE102" s="89" t="n"/>
      <c r="AF102" s="88" t="n"/>
      <c r="AG102" s="90" t="n"/>
      <c r="AH102" s="35" t="n"/>
      <c r="AI102" s="36" t="n"/>
      <c r="AJ102" s="90" t="n"/>
      <c r="AK102" s="35" t="n"/>
      <c r="AL102" s="36" t="n"/>
      <c r="AM102" s="90" t="n"/>
      <c r="AN102" s="35" t="n"/>
      <c r="AO102" s="36" t="n"/>
      <c r="AP102" s="90" t="n"/>
      <c r="AQ102" s="72" t="n"/>
      <c r="AR102" s="73" t="n"/>
      <c r="AS102" s="37">
        <f>SUM(I102+L102+O102+R102+U102+X102+AA102+AD102+AG102+AJ102+AM102+AP102)</f>
        <v/>
      </c>
      <c r="AT102" s="38">
        <f>SUM(J102+M102+P102+S102+V102+Y102+AB102+AE102+AH102+AK102+AN102+AQ102)</f>
        <v/>
      </c>
      <c r="AU102" s="38">
        <f>SUM(K102+N102+Q102+T102+W102+Z102+AC102+AF102+AI102+AL102+AO102+AR102)</f>
        <v/>
      </c>
    </row>
    <row r="103">
      <c r="A103" s="175" t="n"/>
      <c r="B103" s="240" t="n"/>
      <c r="C103" s="170" t="n"/>
      <c r="D103" s="107" t="n"/>
      <c r="E103" s="65" t="n"/>
      <c r="F103" s="79" t="n"/>
      <c r="G103" s="117" t="n"/>
      <c r="H103" s="257" t="n"/>
      <c r="I103" s="19" t="n"/>
      <c r="J103" s="19" t="n"/>
      <c r="K103" s="60" t="n"/>
      <c r="L103" s="57" t="n"/>
      <c r="M103" s="58" t="n"/>
      <c r="N103" s="45" t="n"/>
      <c r="O103" s="25" t="n"/>
      <c r="P103" s="19" t="n"/>
      <c r="Q103" s="60" t="n"/>
      <c r="R103" s="51" t="n"/>
      <c r="S103" s="52" t="n"/>
      <c r="T103" s="53" t="n"/>
      <c r="U103" s="66" t="n"/>
      <c r="V103" s="67" t="n"/>
      <c r="W103" s="68" t="n"/>
      <c r="X103" s="54" t="n"/>
      <c r="Y103" s="55" t="n"/>
      <c r="Z103" s="56" t="n"/>
      <c r="AA103" s="54" t="n"/>
      <c r="AB103" s="55" t="n"/>
      <c r="AC103" s="56" t="n"/>
      <c r="AD103" s="54" t="n"/>
      <c r="AE103" s="55" t="n"/>
      <c r="AF103" s="56" t="n"/>
      <c r="AG103" s="57" t="n"/>
      <c r="AH103" s="58" t="n"/>
      <c r="AI103" s="45" t="n"/>
      <c r="AJ103" s="57" t="n"/>
      <c r="AK103" s="58" t="n"/>
      <c r="AL103" s="45" t="n"/>
      <c r="AM103" s="57" t="n"/>
      <c r="AN103" s="58" t="n"/>
      <c r="AO103" s="45" t="n"/>
      <c r="AP103" s="57" t="n"/>
      <c r="AQ103" s="72" t="n"/>
      <c r="AR103" s="73" t="n"/>
      <c r="AS103" s="37">
        <f>SUM(I103+L103+O103+R103+U103+X103+AA103+AD103+AG103+AJ103+AM103+AP103)</f>
        <v/>
      </c>
      <c r="AT103" s="38">
        <f>SUM(J103+M103+P103+S103+V103+Y103+AB103+AE103+AH103+AK103+AN103+AQ103)</f>
        <v/>
      </c>
      <c r="AU103" s="38">
        <f>SUM(K103+N103+Q103+T103+W103+Z103+AC103+AF103+AI103+AL103+AO103+AR103)</f>
        <v/>
      </c>
    </row>
    <row r="104">
      <c r="A104" s="177" t="n"/>
      <c r="B104" s="178" t="n"/>
      <c r="C104" s="179" t="n"/>
      <c r="D104" s="180" t="n"/>
      <c r="E104" s="181" t="n"/>
      <c r="F104" s="182" t="n"/>
      <c r="G104" s="183" t="n"/>
      <c r="H104" s="184" t="n"/>
      <c r="I104" s="185" t="n"/>
      <c r="J104" s="209" t="n"/>
      <c r="K104" s="210" t="n"/>
      <c r="L104" s="186" t="n"/>
      <c r="M104" s="187" t="n"/>
      <c r="N104" s="188" t="n"/>
      <c r="O104" s="189" t="n"/>
      <c r="P104" s="190" t="n"/>
      <c r="Q104" s="191" t="n"/>
      <c r="R104" s="192" t="n"/>
      <c r="S104" s="193" t="n"/>
      <c r="T104" s="194" t="n"/>
      <c r="U104" s="189" t="n"/>
      <c r="V104" s="190" t="n"/>
      <c r="W104" s="191" t="n"/>
      <c r="X104" s="195" t="n"/>
      <c r="Y104" s="196" t="n"/>
      <c r="Z104" s="197" t="n"/>
      <c r="AA104" s="195" t="n"/>
      <c r="AB104" s="196" t="n"/>
      <c r="AC104" s="197" t="n"/>
      <c r="AD104" s="195" t="n"/>
      <c r="AE104" s="196" t="n"/>
      <c r="AF104" s="197" t="n"/>
      <c r="AG104" s="186" t="n"/>
      <c r="AH104" s="187" t="n"/>
      <c r="AI104" s="188" t="n"/>
      <c r="AJ104" s="186" t="n"/>
      <c r="AK104" s="187" t="n"/>
      <c r="AL104" s="188" t="n"/>
      <c r="AM104" s="186" t="n"/>
      <c r="AN104" s="187" t="n"/>
      <c r="AO104" s="188" t="n"/>
      <c r="AP104" s="186" t="n"/>
      <c r="AQ104" s="187" t="n"/>
      <c r="AR104" s="188" t="n"/>
      <c r="AS104" s="37">
        <f>SUM(I104+L104+O104+R104+U104+X104+AA104+AD104+AG104+AJ104+AM104+AP104)</f>
        <v/>
      </c>
      <c r="AT104" s="38">
        <f>SUM(J104+M104+P104+S104+V104+Y104+AB104+AE104+AH104+AK104+AN104+AQ104)</f>
        <v/>
      </c>
      <c r="AU104" s="38">
        <f>SUM(K104+N104+Q104+T104+W104+Z104+AC104+AF104+AI104+AL104+AO104+AR104)</f>
        <v/>
      </c>
    </row>
    <row r="105">
      <c r="A105" s="178" t="n"/>
      <c r="B105" s="178" t="n"/>
      <c r="C105" s="198" t="n"/>
      <c r="G105" s="183" t="n"/>
      <c r="N105" s="199" t="n"/>
      <c r="W105" s="199" t="n"/>
    </row>
    <row r="106">
      <c r="C106" s="198" t="n"/>
      <c r="G106" s="183" t="n"/>
    </row>
    <row r="107">
      <c r="C107" s="198" t="n"/>
      <c r="G107" s="183" t="n"/>
    </row>
    <row r="108">
      <c r="C108" s="198" t="n"/>
      <c r="G108" s="183" t="n"/>
    </row>
    <row r="109">
      <c r="C109" s="198" t="n"/>
      <c r="G109" s="183" t="n"/>
    </row>
    <row r="110">
      <c r="C110" s="198" t="n"/>
      <c r="G110" s="183" t="n"/>
    </row>
    <row r="111">
      <c r="C111" s="198" t="n"/>
      <c r="G111" s="183" t="n"/>
    </row>
    <row r="112">
      <c r="C112" s="198" t="n"/>
      <c r="G112" s="183" t="n"/>
    </row>
    <row r="113">
      <c r="C113" s="198" t="n"/>
      <c r="G113" s="183" t="n"/>
    </row>
    <row r="114">
      <c r="C114" s="198" t="n"/>
      <c r="G114" s="183" t="n"/>
    </row>
    <row r="115">
      <c r="C115" s="198" t="n"/>
      <c r="G115" s="183" t="n"/>
    </row>
    <row r="116">
      <c r="C116" s="198" t="n"/>
      <c r="G116" s="183" t="n"/>
    </row>
    <row r="117">
      <c r="C117" s="198" t="n"/>
      <c r="G117" s="183" t="n"/>
    </row>
    <row r="118">
      <c r="C118" s="198" t="n"/>
      <c r="G118" s="183" t="n"/>
    </row>
    <row r="119">
      <c r="C119" s="198" t="n"/>
      <c r="G119" s="183" t="n"/>
    </row>
    <row r="120">
      <c r="C120" s="198" t="n"/>
      <c r="G120" s="183" t="n"/>
    </row>
    <row r="121">
      <c r="C121" s="198" t="n"/>
      <c r="G121" s="183" t="n"/>
    </row>
    <row r="122">
      <c r="C122" s="198" t="n"/>
      <c r="G122" s="183" t="n"/>
    </row>
    <row r="123">
      <c r="C123" s="198" t="n"/>
      <c r="G123" s="183" t="n"/>
    </row>
    <row r="124">
      <c r="C124" s="198" t="n"/>
      <c r="G124" s="183" t="n"/>
    </row>
    <row r="125">
      <c r="C125" s="198" t="n"/>
      <c r="G125" s="183" t="n"/>
    </row>
    <row r="126">
      <c r="C126" s="198" t="n"/>
      <c r="G126" s="183" t="n"/>
    </row>
    <row r="127">
      <c r="C127" s="198" t="n"/>
      <c r="G127" s="183" t="n"/>
    </row>
    <row r="128">
      <c r="C128" s="198" t="n"/>
      <c r="G128" s="183" t="n"/>
    </row>
    <row r="129">
      <c r="C129" s="198" t="n"/>
      <c r="G129" s="183" t="n"/>
    </row>
    <row r="130">
      <c r="C130" s="198" t="n"/>
      <c r="G130" s="183" t="n"/>
    </row>
    <row r="131">
      <c r="C131" s="198" t="n"/>
      <c r="G131" s="183" t="n"/>
    </row>
    <row r="132">
      <c r="C132" s="198" t="n"/>
      <c r="G132" s="183" t="n"/>
    </row>
    <row r="133">
      <c r="C133" s="198" t="n"/>
      <c r="G133" s="183" t="n"/>
    </row>
    <row r="134">
      <c r="C134" s="198" t="n"/>
      <c r="G134" s="183" t="n"/>
    </row>
    <row r="135">
      <c r="C135" s="198" t="n"/>
      <c r="G135" s="183" t="n"/>
    </row>
    <row r="136">
      <c r="C136" s="198" t="n"/>
      <c r="G136" s="183" t="n"/>
    </row>
    <row r="137">
      <c r="C137" s="198" t="n"/>
      <c r="G137" s="183" t="n"/>
    </row>
    <row r="138">
      <c r="C138" s="198" t="n"/>
    </row>
    <row r="139">
      <c r="C139" s="198" t="n"/>
    </row>
    <row r="140">
      <c r="C140" s="198" t="n"/>
    </row>
    <row r="141">
      <c r="C141" s="198" t="n"/>
    </row>
    <row r="142">
      <c r="C142" s="198" t="n"/>
    </row>
    <row r="143">
      <c r="C143" s="198" t="n"/>
    </row>
    <row r="144">
      <c r="C144" s="198" t="n"/>
    </row>
    <row r="145">
      <c r="C145" s="198" t="n"/>
    </row>
    <row r="146">
      <c r="C146" s="198" t="n"/>
    </row>
    <row r="147">
      <c r="C147" s="198" t="n"/>
    </row>
    <row r="148">
      <c r="C148" s="198" t="n"/>
    </row>
    <row r="149">
      <c r="C149" s="198" t="n"/>
    </row>
    <row r="150">
      <c r="C150" s="198" t="n"/>
    </row>
    <row r="151">
      <c r="C151" s="198" t="n"/>
    </row>
    <row r="152">
      <c r="C152" s="198" t="n"/>
    </row>
    <row r="153">
      <c r="C153" s="198" t="n"/>
    </row>
    <row r="154">
      <c r="C154" s="198" t="n"/>
    </row>
    <row r="155">
      <c r="C155" s="198" t="n"/>
    </row>
    <row r="156">
      <c r="C156" s="198" t="n"/>
    </row>
    <row r="157">
      <c r="C157" s="198" t="n"/>
    </row>
    <row r="158">
      <c r="C158" s="198" t="n"/>
    </row>
    <row r="159">
      <c r="C159" s="198" t="n"/>
    </row>
    <row r="160">
      <c r="C160" s="198" t="n"/>
    </row>
    <row r="161">
      <c r="C161" s="198" t="n"/>
    </row>
    <row r="162">
      <c r="C162" s="198" t="n"/>
    </row>
    <row r="163">
      <c r="C163" s="198" t="n"/>
    </row>
    <row r="164">
      <c r="C164" s="198" t="n"/>
    </row>
    <row r="165">
      <c r="C165" s="198" t="n"/>
    </row>
    <row r="166">
      <c r="C166" s="198" t="n"/>
    </row>
    <row r="167">
      <c r="C167" s="198" t="n"/>
    </row>
    <row r="168">
      <c r="C168" s="198" t="n"/>
    </row>
    <row r="169">
      <c r="C169" s="198" t="n"/>
    </row>
    <row r="170">
      <c r="C170" s="198" t="n"/>
    </row>
    <row r="171">
      <c r="C171" s="198" t="n"/>
    </row>
    <row r="172">
      <c r="C172" s="198" t="n"/>
    </row>
    <row r="173">
      <c r="C173" s="198" t="n"/>
    </row>
    <row r="174">
      <c r="C174" s="198" t="n"/>
    </row>
    <row r="175">
      <c r="C175" s="198" t="n"/>
    </row>
    <row r="176">
      <c r="C176" s="198" t="n"/>
    </row>
    <row r="177">
      <c r="C177" s="198" t="n"/>
    </row>
    <row r="178">
      <c r="C178" s="198" t="n"/>
    </row>
    <row r="179">
      <c r="C179" s="198" t="n"/>
    </row>
    <row r="180">
      <c r="C180" s="198" t="n"/>
    </row>
    <row r="181">
      <c r="C181" s="198" t="n"/>
    </row>
    <row r="182">
      <c r="C182" s="198" t="n"/>
    </row>
    <row r="183">
      <c r="C183" s="198" t="n"/>
    </row>
    <row r="184">
      <c r="C184" s="198" t="n"/>
    </row>
    <row r="185">
      <c r="C185" s="198" t="n"/>
    </row>
    <row r="186">
      <c r="C186" s="198" t="n"/>
    </row>
    <row r="187">
      <c r="C187" s="198" t="n"/>
    </row>
    <row r="188">
      <c r="C188" s="198" t="n"/>
    </row>
    <row r="189">
      <c r="C189" s="198" t="n"/>
    </row>
    <row r="190">
      <c r="C190" s="198" t="n"/>
    </row>
    <row r="191">
      <c r="C191" s="198" t="n"/>
    </row>
    <row r="192">
      <c r="C192" s="198" t="n"/>
    </row>
    <row r="193">
      <c r="C193" s="198" t="n"/>
    </row>
    <row r="194">
      <c r="C194" s="198" t="n"/>
    </row>
    <row r="195">
      <c r="C195" s="198" t="n"/>
    </row>
    <row r="196">
      <c r="C196" s="198" t="n"/>
    </row>
    <row r="197">
      <c r="C197" s="198" t="n"/>
    </row>
    <row r="198">
      <c r="C198" s="198" t="n"/>
    </row>
    <row r="199">
      <c r="C199" s="198" t="n"/>
    </row>
    <row r="200">
      <c r="C200" s="198" t="n"/>
    </row>
    <row r="201">
      <c r="C201" s="198" t="n"/>
    </row>
    <row r="202">
      <c r="C202" s="198" t="n"/>
    </row>
    <row r="203">
      <c r="C203" s="198" t="n"/>
    </row>
    <row r="204">
      <c r="C204" s="198" t="n"/>
    </row>
    <row r="205">
      <c r="C205" s="198" t="n"/>
    </row>
    <row r="206">
      <c r="C206" s="198" t="n"/>
    </row>
    <row r="207">
      <c r="C207" s="198" t="n"/>
    </row>
    <row r="208">
      <c r="C208" s="198" t="n"/>
    </row>
    <row r="209">
      <c r="C209" s="198" t="n"/>
    </row>
    <row r="210">
      <c r="C210" s="198" t="n"/>
    </row>
    <row r="211">
      <c r="C211" s="198" t="n"/>
    </row>
    <row r="212">
      <c r="C212" s="198" t="n"/>
    </row>
    <row r="213">
      <c r="C213" s="198" t="n"/>
    </row>
    <row r="214">
      <c r="C214" s="198" t="n"/>
    </row>
    <row r="215">
      <c r="C215" s="198" t="n"/>
    </row>
    <row r="216">
      <c r="C216" s="198" t="n"/>
    </row>
    <row r="217">
      <c r="C217" s="198" t="n"/>
    </row>
    <row r="218">
      <c r="C218" s="198" t="n"/>
    </row>
    <row r="219">
      <c r="C219" s="198" t="n"/>
    </row>
    <row r="220">
      <c r="C220" s="198" t="n"/>
    </row>
    <row r="221">
      <c r="C221" s="198" t="n"/>
    </row>
    <row r="222">
      <c r="C222" s="198" t="n"/>
    </row>
    <row r="223">
      <c r="C223" s="198" t="n"/>
    </row>
    <row r="224">
      <c r="C224" s="198" t="n"/>
    </row>
    <row r="225">
      <c r="C225" s="198" t="n"/>
    </row>
    <row r="226">
      <c r="C226" s="198" t="n"/>
    </row>
    <row r="227">
      <c r="C227" s="198" t="n"/>
    </row>
    <row r="228">
      <c r="C228" s="198" t="n"/>
    </row>
    <row r="229">
      <c r="C229" s="198" t="n"/>
    </row>
    <row r="230">
      <c r="C230" s="198" t="n"/>
    </row>
    <row r="231">
      <c r="C231" s="198" t="n"/>
    </row>
    <row r="232">
      <c r="C232" s="198" t="n"/>
    </row>
    <row r="233">
      <c r="C233" s="198" t="n"/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H99"/>
  <sheetViews>
    <sheetView topLeftCell="A90" workbookViewId="0">
      <selection activeCell="BF95" sqref="BF95"/>
    </sheetView>
  </sheetViews>
  <sheetFormatPr baseColWidth="8" defaultColWidth="8.1796875" defaultRowHeight="20"/>
  <cols>
    <col width="3.1796875" customWidth="1" style="149" min="1" max="1"/>
    <col width="5.26953125" customWidth="1" style="149" min="2" max="2"/>
    <col width="8.7265625" customWidth="1" style="149" min="3" max="3"/>
    <col width="11.26953125" bestFit="1" customWidth="1" style="149" min="4" max="4"/>
    <col hidden="1" outlineLevel="1" width="4.81640625" customWidth="1" style="136" min="5" max="9"/>
    <col collapsed="1" width="5" customWidth="1" style="259" min="10" max="10"/>
    <col hidden="1" outlineLevel="1" width="4.81640625" customWidth="1" style="136" min="11" max="15"/>
    <col collapsed="1" width="5.26953125" customWidth="1" style="136" min="16" max="16"/>
    <col hidden="1" outlineLevel="1" width="4.81640625" customWidth="1" style="136" min="17" max="21"/>
    <col collapsed="1" width="5.26953125" customWidth="1" style="136" min="22" max="22"/>
    <col hidden="1" outlineLevel="1" width="4.81640625" customWidth="1" style="136" min="23" max="27"/>
    <col collapsed="1" width="5.81640625" customWidth="1" style="136" min="28" max="28"/>
    <col hidden="1" outlineLevel="1" width="4.81640625" customWidth="1" style="136" min="29" max="33"/>
    <col collapsed="1" width="5.26953125" customWidth="1" style="136" min="34" max="34"/>
    <col hidden="1" outlineLevel="1" width="4.81640625" customWidth="1" style="136" min="35" max="39"/>
    <col collapsed="1" width="5" customWidth="1" style="136" min="40" max="40"/>
    <col hidden="1" outlineLevel="1" width="4.81640625" customWidth="1" style="136" min="41" max="45"/>
    <col collapsed="1" width="5.08984375" customWidth="1" style="136" min="46" max="46"/>
    <col hidden="1" outlineLevel="1" width="4.81640625" customWidth="1" style="136" min="47" max="51"/>
    <col collapsed="1" width="4.81640625" customWidth="1" style="136" min="52" max="52"/>
    <col hidden="1" outlineLevel="1" width="4.81640625" customWidth="1" style="136" min="53" max="57"/>
    <col collapsed="1" width="4.81640625" customWidth="1" style="136" min="58" max="58"/>
    <col hidden="1" outlineLevel="1" width="4.81640625" customWidth="1" style="136" min="59" max="63"/>
    <col collapsed="1" width="5.453125" customWidth="1" style="136" min="64" max="64"/>
    <col hidden="1" outlineLevel="1" width="4.81640625" customWidth="1" style="136" min="65" max="69"/>
    <col collapsed="1" width="5.36328125" customWidth="1" style="136" min="70" max="70"/>
    <col hidden="1" outlineLevel="1" width="4.81640625" customWidth="1" style="136" min="71" max="72"/>
    <col hidden="1" outlineLevel="1" width="5.08984375" customWidth="1" style="136" min="73" max="73"/>
    <col hidden="1" outlineLevel="1" width="4.81640625" customWidth="1" style="136" min="74" max="75"/>
    <col collapsed="1" width="5.36328125" customWidth="1" style="136" min="76" max="76"/>
    <col width="4.36328125" customWidth="1" style="1" min="77" max="77"/>
    <col outlineLevel="1" width="5.36328125" customWidth="1" style="260" min="78" max="78"/>
    <col outlineLevel="1" width="8.81640625" customWidth="1" style="260" min="79" max="79"/>
    <col outlineLevel="1" width="5.90625" customWidth="1" style="260" min="80" max="80"/>
    <col outlineLevel="1" width="4.90625" customWidth="1" style="260" min="81" max="81"/>
    <col outlineLevel="1" width="6.36328125" customWidth="1" style="260" min="82" max="82"/>
    <col width="5.90625" customWidth="1" style="136" min="83" max="83"/>
    <col width="11.36328125" customWidth="1" min="84" max="84"/>
    <col width="3.1796875" customWidth="1" min="257" max="257"/>
    <col width="4.08984375" customWidth="1" min="258" max="258"/>
    <col width="8.7265625" customWidth="1" min="259" max="259"/>
    <col width="11.26953125" bestFit="1" customWidth="1" min="260" max="260"/>
    <col hidden="1" min="261" max="265"/>
    <col width="5" customWidth="1" min="266" max="266"/>
    <col hidden="1" min="267" max="271"/>
    <col width="5.26953125" customWidth="1" min="272" max="272"/>
    <col hidden="1" min="273" max="277"/>
    <col width="5.26953125" customWidth="1" min="278" max="278"/>
    <col hidden="1" min="279" max="283"/>
    <col width="5.81640625" customWidth="1" min="284" max="284"/>
    <col hidden="1" min="285" max="289"/>
    <col width="5.26953125" customWidth="1" min="290" max="290"/>
    <col hidden="1" min="291" max="295"/>
    <col width="5" customWidth="1" min="296" max="296"/>
    <col hidden="1" min="297" max="301"/>
    <col width="5.08984375" customWidth="1" min="302" max="302"/>
    <col hidden="1" min="303" max="307"/>
    <col width="4.81640625" customWidth="1" min="308" max="308"/>
    <col hidden="1" min="309" max="313"/>
    <col width="4.81640625" customWidth="1" min="314" max="314"/>
    <col hidden="1" min="315" max="319"/>
    <col width="5.453125" customWidth="1" min="320" max="320"/>
    <col hidden="1" min="321" max="325"/>
    <col width="5.36328125" customWidth="1" min="326" max="326"/>
    <col hidden="1" min="327" max="331"/>
    <col width="5.36328125" customWidth="1" min="332" max="332"/>
    <col width="4.36328125" customWidth="1" min="333" max="333"/>
    <col width="5.36328125" customWidth="1" min="334" max="334"/>
    <col width="4.36328125" customWidth="1" min="335" max="335"/>
    <col width="5.90625" customWidth="1" min="336" max="336"/>
    <col width="4.90625" customWidth="1" min="337" max="337"/>
    <col width="6.36328125" customWidth="1" min="338" max="338"/>
    <col width="5.90625" customWidth="1" min="339" max="339"/>
    <col width="11.36328125" customWidth="1" min="340" max="340"/>
    <col width="3.1796875" customWidth="1" min="513" max="513"/>
    <col width="4.08984375" customWidth="1" min="514" max="514"/>
    <col width="8.7265625" customWidth="1" min="515" max="515"/>
    <col width="11.26953125" bestFit="1" customWidth="1" min="516" max="516"/>
    <col hidden="1" min="517" max="521"/>
    <col width="5" customWidth="1" min="522" max="522"/>
    <col hidden="1" min="523" max="527"/>
    <col width="5.26953125" customWidth="1" min="528" max="528"/>
    <col hidden="1" min="529" max="533"/>
    <col width="5.26953125" customWidth="1" min="534" max="534"/>
    <col hidden="1" min="535" max="539"/>
    <col width="5.81640625" customWidth="1" min="540" max="540"/>
    <col hidden="1" min="541" max="545"/>
    <col width="5.26953125" customWidth="1" min="546" max="546"/>
    <col hidden="1" min="547" max="551"/>
    <col width="5" customWidth="1" min="552" max="552"/>
    <col hidden="1" min="553" max="557"/>
    <col width="5.08984375" customWidth="1" min="558" max="558"/>
    <col hidden="1" min="559" max="563"/>
    <col width="4.81640625" customWidth="1" min="564" max="564"/>
    <col hidden="1" min="565" max="569"/>
    <col width="4.81640625" customWidth="1" min="570" max="570"/>
    <col hidden="1" min="571" max="575"/>
    <col width="5.453125" customWidth="1" min="576" max="576"/>
    <col hidden="1" min="577" max="581"/>
    <col width="5.36328125" customWidth="1" min="582" max="582"/>
    <col hidden="1" min="583" max="587"/>
    <col width="5.36328125" customWidth="1" min="588" max="588"/>
    <col width="4.36328125" customWidth="1" min="589" max="589"/>
    <col width="5.36328125" customWidth="1" min="590" max="590"/>
    <col width="4.36328125" customWidth="1" min="591" max="591"/>
    <col width="5.90625" customWidth="1" min="592" max="592"/>
    <col width="4.90625" customWidth="1" min="593" max="593"/>
    <col width="6.36328125" customWidth="1" min="594" max="594"/>
    <col width="5.90625" customWidth="1" min="595" max="595"/>
    <col width="11.36328125" customWidth="1" min="596" max="596"/>
    <col width="3.1796875" customWidth="1" min="769" max="769"/>
    <col width="4.08984375" customWidth="1" min="770" max="770"/>
    <col width="8.7265625" customWidth="1" min="771" max="771"/>
    <col width="11.26953125" bestFit="1" customWidth="1" min="772" max="772"/>
    <col hidden="1" min="773" max="777"/>
    <col width="5" customWidth="1" min="778" max="778"/>
    <col hidden="1" min="779" max="783"/>
    <col width="5.26953125" customWidth="1" min="784" max="784"/>
    <col hidden="1" min="785" max="789"/>
    <col width="5.26953125" customWidth="1" min="790" max="790"/>
    <col hidden="1" min="791" max="795"/>
    <col width="5.81640625" customWidth="1" min="796" max="796"/>
    <col hidden="1" min="797" max="801"/>
    <col width="5.26953125" customWidth="1" min="802" max="802"/>
    <col hidden="1" min="803" max="807"/>
    <col width="5" customWidth="1" min="808" max="808"/>
    <col hidden="1" min="809" max="813"/>
    <col width="5.08984375" customWidth="1" min="814" max="814"/>
    <col hidden="1" min="815" max="819"/>
    <col width="4.81640625" customWidth="1" min="820" max="820"/>
    <col hidden="1" min="821" max="825"/>
    <col width="4.81640625" customWidth="1" min="826" max="826"/>
    <col hidden="1" min="827" max="831"/>
    <col width="5.453125" customWidth="1" min="832" max="832"/>
    <col hidden="1" min="833" max="837"/>
    <col width="5.36328125" customWidth="1" min="838" max="838"/>
    <col hidden="1" min="839" max="843"/>
    <col width="5.36328125" customWidth="1" min="844" max="844"/>
    <col width="4.36328125" customWidth="1" min="845" max="845"/>
    <col width="5.36328125" customWidth="1" min="846" max="846"/>
    <col width="4.36328125" customWidth="1" min="847" max="847"/>
    <col width="5.90625" customWidth="1" min="848" max="848"/>
    <col width="4.90625" customWidth="1" min="849" max="849"/>
    <col width="6.36328125" customWidth="1" min="850" max="850"/>
    <col width="5.90625" customWidth="1" min="851" max="851"/>
    <col width="11.36328125" customWidth="1" min="852" max="852"/>
    <col width="3.1796875" customWidth="1" min="1025" max="1025"/>
    <col width="4.08984375" customWidth="1" min="1026" max="1026"/>
    <col width="8.7265625" customWidth="1" min="1027" max="1027"/>
    <col width="11.26953125" bestFit="1" customWidth="1" min="1028" max="1028"/>
    <col hidden="1" min="1029" max="1033"/>
    <col width="5" customWidth="1" min="1034" max="1034"/>
    <col hidden="1" min="1035" max="1039"/>
    <col width="5.26953125" customWidth="1" min="1040" max="1040"/>
    <col hidden="1" min="1041" max="1045"/>
    <col width="5.26953125" customWidth="1" min="1046" max="1046"/>
    <col hidden="1" min="1047" max="1051"/>
    <col width="5.81640625" customWidth="1" min="1052" max="1052"/>
    <col hidden="1" min="1053" max="1057"/>
    <col width="5.26953125" customWidth="1" min="1058" max="1058"/>
    <col hidden="1" min="1059" max="1063"/>
    <col width="5" customWidth="1" min="1064" max="1064"/>
    <col hidden="1" min="1065" max="1069"/>
    <col width="5.08984375" customWidth="1" min="1070" max="1070"/>
    <col hidden="1" min="1071" max="1075"/>
    <col width="4.81640625" customWidth="1" min="1076" max="1076"/>
    <col hidden="1" min="1077" max="1081"/>
    <col width="4.81640625" customWidth="1" min="1082" max="1082"/>
    <col hidden="1" min="1083" max="1087"/>
    <col width="5.453125" customWidth="1" min="1088" max="1088"/>
    <col hidden="1" min="1089" max="1093"/>
    <col width="5.36328125" customWidth="1" min="1094" max="1094"/>
    <col hidden="1" min="1095" max="1099"/>
    <col width="5.36328125" customWidth="1" min="1100" max="1100"/>
    <col width="4.36328125" customWidth="1" min="1101" max="1101"/>
    <col width="5.36328125" customWidth="1" min="1102" max="1102"/>
    <col width="4.36328125" customWidth="1" min="1103" max="1103"/>
    <col width="5.90625" customWidth="1" min="1104" max="1104"/>
    <col width="4.90625" customWidth="1" min="1105" max="1105"/>
    <col width="6.36328125" customWidth="1" min="1106" max="1106"/>
    <col width="5.90625" customWidth="1" min="1107" max="1107"/>
    <col width="11.36328125" customWidth="1" min="1108" max="1108"/>
    <col width="3.1796875" customWidth="1" min="1281" max="1281"/>
    <col width="4.08984375" customWidth="1" min="1282" max="1282"/>
    <col width="8.7265625" customWidth="1" min="1283" max="1283"/>
    <col width="11.26953125" bestFit="1" customWidth="1" min="1284" max="1284"/>
    <col hidden="1" min="1285" max="1289"/>
    <col width="5" customWidth="1" min="1290" max="1290"/>
    <col hidden="1" min="1291" max="1295"/>
    <col width="5.26953125" customWidth="1" min="1296" max="1296"/>
    <col hidden="1" min="1297" max="1301"/>
    <col width="5.26953125" customWidth="1" min="1302" max="1302"/>
    <col hidden="1" min="1303" max="1307"/>
    <col width="5.81640625" customWidth="1" min="1308" max="1308"/>
    <col hidden="1" min="1309" max="1313"/>
    <col width="5.26953125" customWidth="1" min="1314" max="1314"/>
    <col hidden="1" min="1315" max="1319"/>
    <col width="5" customWidth="1" min="1320" max="1320"/>
    <col hidden="1" min="1321" max="1325"/>
    <col width="5.08984375" customWidth="1" min="1326" max="1326"/>
    <col hidden="1" min="1327" max="1331"/>
    <col width="4.81640625" customWidth="1" min="1332" max="1332"/>
    <col hidden="1" min="1333" max="1337"/>
    <col width="4.81640625" customWidth="1" min="1338" max="1338"/>
    <col hidden="1" min="1339" max="1343"/>
    <col width="5.453125" customWidth="1" min="1344" max="1344"/>
    <col hidden="1" min="1345" max="1349"/>
    <col width="5.36328125" customWidth="1" min="1350" max="1350"/>
    <col hidden="1" min="1351" max="1355"/>
    <col width="5.36328125" customWidth="1" min="1356" max="1356"/>
    <col width="4.36328125" customWidth="1" min="1357" max="1357"/>
    <col width="5.36328125" customWidth="1" min="1358" max="1358"/>
    <col width="4.36328125" customWidth="1" min="1359" max="1359"/>
    <col width="5.90625" customWidth="1" min="1360" max="1360"/>
    <col width="4.90625" customWidth="1" min="1361" max="1361"/>
    <col width="6.36328125" customWidth="1" min="1362" max="1362"/>
    <col width="5.90625" customWidth="1" min="1363" max="1363"/>
    <col width="11.36328125" customWidth="1" min="1364" max="1364"/>
    <col width="3.1796875" customWidth="1" min="1537" max="1537"/>
    <col width="4.08984375" customWidth="1" min="1538" max="1538"/>
    <col width="8.7265625" customWidth="1" min="1539" max="1539"/>
    <col width="11.26953125" bestFit="1" customWidth="1" min="1540" max="1540"/>
    <col hidden="1" min="1541" max="1545"/>
    <col width="5" customWidth="1" min="1546" max="1546"/>
    <col hidden="1" min="1547" max="1551"/>
    <col width="5.26953125" customWidth="1" min="1552" max="1552"/>
    <col hidden="1" min="1553" max="1557"/>
    <col width="5.26953125" customWidth="1" min="1558" max="1558"/>
    <col hidden="1" min="1559" max="1563"/>
    <col width="5.81640625" customWidth="1" min="1564" max="1564"/>
    <col hidden="1" min="1565" max="1569"/>
    <col width="5.26953125" customWidth="1" min="1570" max="1570"/>
    <col hidden="1" min="1571" max="1575"/>
    <col width="5" customWidth="1" min="1576" max="1576"/>
    <col hidden="1" min="1577" max="1581"/>
    <col width="5.08984375" customWidth="1" min="1582" max="1582"/>
    <col hidden="1" min="1583" max="1587"/>
    <col width="4.81640625" customWidth="1" min="1588" max="1588"/>
    <col hidden="1" min="1589" max="1593"/>
    <col width="4.81640625" customWidth="1" min="1594" max="1594"/>
    <col hidden="1" min="1595" max="1599"/>
    <col width="5.453125" customWidth="1" min="1600" max="1600"/>
    <col hidden="1" min="1601" max="1605"/>
    <col width="5.36328125" customWidth="1" min="1606" max="1606"/>
    <col hidden="1" min="1607" max="1611"/>
    <col width="5.36328125" customWidth="1" min="1612" max="1612"/>
    <col width="4.36328125" customWidth="1" min="1613" max="1613"/>
    <col width="5.36328125" customWidth="1" min="1614" max="1614"/>
    <col width="4.36328125" customWidth="1" min="1615" max="1615"/>
    <col width="5.90625" customWidth="1" min="1616" max="1616"/>
    <col width="4.90625" customWidth="1" min="1617" max="1617"/>
    <col width="6.36328125" customWidth="1" min="1618" max="1618"/>
    <col width="5.90625" customWidth="1" min="1619" max="1619"/>
    <col width="11.36328125" customWidth="1" min="1620" max="1620"/>
    <col width="3.1796875" customWidth="1" min="1793" max="1793"/>
    <col width="4.08984375" customWidth="1" min="1794" max="1794"/>
    <col width="8.7265625" customWidth="1" min="1795" max="1795"/>
    <col width="11.26953125" bestFit="1" customWidth="1" min="1796" max="1796"/>
    <col hidden="1" min="1797" max="1801"/>
    <col width="5" customWidth="1" min="1802" max="1802"/>
    <col hidden="1" min="1803" max="1807"/>
    <col width="5.26953125" customWidth="1" min="1808" max="1808"/>
    <col hidden="1" min="1809" max="1813"/>
    <col width="5.26953125" customWidth="1" min="1814" max="1814"/>
    <col hidden="1" min="1815" max="1819"/>
    <col width="5.81640625" customWidth="1" min="1820" max="1820"/>
    <col hidden="1" min="1821" max="1825"/>
    <col width="5.26953125" customWidth="1" min="1826" max="1826"/>
    <col hidden="1" min="1827" max="1831"/>
    <col width="5" customWidth="1" min="1832" max="1832"/>
    <col hidden="1" min="1833" max="1837"/>
    <col width="5.08984375" customWidth="1" min="1838" max="1838"/>
    <col hidden="1" min="1839" max="1843"/>
    <col width="4.81640625" customWidth="1" min="1844" max="1844"/>
    <col hidden="1" min="1845" max="1849"/>
    <col width="4.81640625" customWidth="1" min="1850" max="1850"/>
    <col hidden="1" min="1851" max="1855"/>
    <col width="5.453125" customWidth="1" min="1856" max="1856"/>
    <col hidden="1" min="1857" max="1861"/>
    <col width="5.36328125" customWidth="1" min="1862" max="1862"/>
    <col hidden="1" min="1863" max="1867"/>
    <col width="5.36328125" customWidth="1" min="1868" max="1868"/>
    <col width="4.36328125" customWidth="1" min="1869" max="1869"/>
    <col width="5.36328125" customWidth="1" min="1870" max="1870"/>
    <col width="4.36328125" customWidth="1" min="1871" max="1871"/>
    <col width="5.90625" customWidth="1" min="1872" max="1872"/>
    <col width="4.90625" customWidth="1" min="1873" max="1873"/>
    <col width="6.36328125" customWidth="1" min="1874" max="1874"/>
    <col width="5.90625" customWidth="1" min="1875" max="1875"/>
    <col width="11.36328125" customWidth="1" min="1876" max="1876"/>
    <col width="3.1796875" customWidth="1" min="2049" max="2049"/>
    <col width="4.08984375" customWidth="1" min="2050" max="2050"/>
    <col width="8.7265625" customWidth="1" min="2051" max="2051"/>
    <col width="11.26953125" bestFit="1" customWidth="1" min="2052" max="2052"/>
    <col hidden="1" min="2053" max="2057"/>
    <col width="5" customWidth="1" min="2058" max="2058"/>
    <col hidden="1" min="2059" max="2063"/>
    <col width="5.26953125" customWidth="1" min="2064" max="2064"/>
    <col hidden="1" min="2065" max="2069"/>
    <col width="5.26953125" customWidth="1" min="2070" max="2070"/>
    <col hidden="1" min="2071" max="2075"/>
    <col width="5.81640625" customWidth="1" min="2076" max="2076"/>
    <col hidden="1" min="2077" max="2081"/>
    <col width="5.26953125" customWidth="1" min="2082" max="2082"/>
    <col hidden="1" min="2083" max="2087"/>
    <col width="5" customWidth="1" min="2088" max="2088"/>
    <col hidden="1" min="2089" max="2093"/>
    <col width="5.08984375" customWidth="1" min="2094" max="2094"/>
    <col hidden="1" min="2095" max="2099"/>
    <col width="4.81640625" customWidth="1" min="2100" max="2100"/>
    <col hidden="1" min="2101" max="2105"/>
    <col width="4.81640625" customWidth="1" min="2106" max="2106"/>
    <col hidden="1" min="2107" max="2111"/>
    <col width="5.453125" customWidth="1" min="2112" max="2112"/>
    <col hidden="1" min="2113" max="2117"/>
    <col width="5.36328125" customWidth="1" min="2118" max="2118"/>
    <col hidden="1" min="2119" max="2123"/>
    <col width="5.36328125" customWidth="1" min="2124" max="2124"/>
    <col width="4.36328125" customWidth="1" min="2125" max="2125"/>
    <col width="5.36328125" customWidth="1" min="2126" max="2126"/>
    <col width="4.36328125" customWidth="1" min="2127" max="2127"/>
    <col width="5.90625" customWidth="1" min="2128" max="2128"/>
    <col width="4.90625" customWidth="1" min="2129" max="2129"/>
    <col width="6.36328125" customWidth="1" min="2130" max="2130"/>
    <col width="5.90625" customWidth="1" min="2131" max="2131"/>
    <col width="11.36328125" customWidth="1" min="2132" max="2132"/>
    <col width="3.1796875" customWidth="1" min="2305" max="2305"/>
    <col width="4.08984375" customWidth="1" min="2306" max="2306"/>
    <col width="8.7265625" customWidth="1" min="2307" max="2307"/>
    <col width="11.26953125" bestFit="1" customWidth="1" min="2308" max="2308"/>
    <col hidden="1" min="2309" max="2313"/>
    <col width="5" customWidth="1" min="2314" max="2314"/>
    <col hidden="1" min="2315" max="2319"/>
    <col width="5.26953125" customWidth="1" min="2320" max="2320"/>
    <col hidden="1" min="2321" max="2325"/>
    <col width="5.26953125" customWidth="1" min="2326" max="2326"/>
    <col hidden="1" min="2327" max="2331"/>
    <col width="5.81640625" customWidth="1" min="2332" max="2332"/>
    <col hidden="1" min="2333" max="2337"/>
    <col width="5.26953125" customWidth="1" min="2338" max="2338"/>
    <col hidden="1" min="2339" max="2343"/>
    <col width="5" customWidth="1" min="2344" max="2344"/>
    <col hidden="1" min="2345" max="2349"/>
    <col width="5.08984375" customWidth="1" min="2350" max="2350"/>
    <col hidden="1" min="2351" max="2355"/>
    <col width="4.81640625" customWidth="1" min="2356" max="2356"/>
    <col hidden="1" min="2357" max="2361"/>
    <col width="4.81640625" customWidth="1" min="2362" max="2362"/>
    <col hidden="1" min="2363" max="2367"/>
    <col width="5.453125" customWidth="1" min="2368" max="2368"/>
    <col hidden="1" min="2369" max="2373"/>
    <col width="5.36328125" customWidth="1" min="2374" max="2374"/>
    <col hidden="1" min="2375" max="2379"/>
    <col width="5.36328125" customWidth="1" min="2380" max="2380"/>
    <col width="4.36328125" customWidth="1" min="2381" max="2381"/>
    <col width="5.36328125" customWidth="1" min="2382" max="2382"/>
    <col width="4.36328125" customWidth="1" min="2383" max="2383"/>
    <col width="5.90625" customWidth="1" min="2384" max="2384"/>
    <col width="4.90625" customWidth="1" min="2385" max="2385"/>
    <col width="6.36328125" customWidth="1" min="2386" max="2386"/>
    <col width="5.90625" customWidth="1" min="2387" max="2387"/>
    <col width="11.36328125" customWidth="1" min="2388" max="2388"/>
    <col width="3.1796875" customWidth="1" min="2561" max="2561"/>
    <col width="4.08984375" customWidth="1" min="2562" max="2562"/>
    <col width="8.7265625" customWidth="1" min="2563" max="2563"/>
    <col width="11.26953125" bestFit="1" customWidth="1" min="2564" max="2564"/>
    <col hidden="1" min="2565" max="2569"/>
    <col width="5" customWidth="1" min="2570" max="2570"/>
    <col hidden="1" min="2571" max="2575"/>
    <col width="5.26953125" customWidth="1" min="2576" max="2576"/>
    <col hidden="1" min="2577" max="2581"/>
    <col width="5.26953125" customWidth="1" min="2582" max="2582"/>
    <col hidden="1" min="2583" max="2587"/>
    <col width="5.81640625" customWidth="1" min="2588" max="2588"/>
    <col hidden="1" min="2589" max="2593"/>
    <col width="5.26953125" customWidth="1" min="2594" max="2594"/>
    <col hidden="1" min="2595" max="2599"/>
    <col width="5" customWidth="1" min="2600" max="2600"/>
    <col hidden="1" min="2601" max="2605"/>
    <col width="5.08984375" customWidth="1" min="2606" max="2606"/>
    <col hidden="1" min="2607" max="2611"/>
    <col width="4.81640625" customWidth="1" min="2612" max="2612"/>
    <col hidden="1" min="2613" max="2617"/>
    <col width="4.81640625" customWidth="1" min="2618" max="2618"/>
    <col hidden="1" min="2619" max="2623"/>
    <col width="5.453125" customWidth="1" min="2624" max="2624"/>
    <col hidden="1" min="2625" max="2629"/>
    <col width="5.36328125" customWidth="1" min="2630" max="2630"/>
    <col hidden="1" min="2631" max="2635"/>
    <col width="5.36328125" customWidth="1" min="2636" max="2636"/>
    <col width="4.36328125" customWidth="1" min="2637" max="2637"/>
    <col width="5.36328125" customWidth="1" min="2638" max="2638"/>
    <col width="4.36328125" customWidth="1" min="2639" max="2639"/>
    <col width="5.90625" customWidth="1" min="2640" max="2640"/>
    <col width="4.90625" customWidth="1" min="2641" max="2641"/>
    <col width="6.36328125" customWidth="1" min="2642" max="2642"/>
    <col width="5.90625" customWidth="1" min="2643" max="2643"/>
    <col width="11.36328125" customWidth="1" min="2644" max="2644"/>
    <col width="3.1796875" customWidth="1" min="2817" max="2817"/>
    <col width="4.08984375" customWidth="1" min="2818" max="2818"/>
    <col width="8.7265625" customWidth="1" min="2819" max="2819"/>
    <col width="11.26953125" bestFit="1" customWidth="1" min="2820" max="2820"/>
    <col hidden="1" min="2821" max="2825"/>
    <col width="5" customWidth="1" min="2826" max="2826"/>
    <col hidden="1" min="2827" max="2831"/>
    <col width="5.26953125" customWidth="1" min="2832" max="2832"/>
    <col hidden="1" min="2833" max="2837"/>
    <col width="5.26953125" customWidth="1" min="2838" max="2838"/>
    <col hidden="1" min="2839" max="2843"/>
    <col width="5.81640625" customWidth="1" min="2844" max="2844"/>
    <col hidden="1" min="2845" max="2849"/>
    <col width="5.26953125" customWidth="1" min="2850" max="2850"/>
    <col hidden="1" min="2851" max="2855"/>
    <col width="5" customWidth="1" min="2856" max="2856"/>
    <col hidden="1" min="2857" max="2861"/>
    <col width="5.08984375" customWidth="1" min="2862" max="2862"/>
    <col hidden="1" min="2863" max="2867"/>
    <col width="4.81640625" customWidth="1" min="2868" max="2868"/>
    <col hidden="1" min="2869" max="2873"/>
    <col width="4.81640625" customWidth="1" min="2874" max="2874"/>
    <col hidden="1" min="2875" max="2879"/>
    <col width="5.453125" customWidth="1" min="2880" max="2880"/>
    <col hidden="1" min="2881" max="2885"/>
    <col width="5.36328125" customWidth="1" min="2886" max="2886"/>
    <col hidden="1" min="2887" max="2891"/>
    <col width="5.36328125" customWidth="1" min="2892" max="2892"/>
    <col width="4.36328125" customWidth="1" min="2893" max="2893"/>
    <col width="5.36328125" customWidth="1" min="2894" max="2894"/>
    <col width="4.36328125" customWidth="1" min="2895" max="2895"/>
    <col width="5.90625" customWidth="1" min="2896" max="2896"/>
    <col width="4.90625" customWidth="1" min="2897" max="2897"/>
    <col width="6.36328125" customWidth="1" min="2898" max="2898"/>
    <col width="5.90625" customWidth="1" min="2899" max="2899"/>
    <col width="11.36328125" customWidth="1" min="2900" max="2900"/>
    <col width="3.1796875" customWidth="1" min="3073" max="3073"/>
    <col width="4.08984375" customWidth="1" min="3074" max="3074"/>
    <col width="8.7265625" customWidth="1" min="3075" max="3075"/>
    <col width="11.26953125" bestFit="1" customWidth="1" min="3076" max="3076"/>
    <col hidden="1" min="3077" max="3081"/>
    <col width="5" customWidth="1" min="3082" max="3082"/>
    <col hidden="1" min="3083" max="3087"/>
    <col width="5.26953125" customWidth="1" min="3088" max="3088"/>
    <col hidden="1" min="3089" max="3093"/>
    <col width="5.26953125" customWidth="1" min="3094" max="3094"/>
    <col hidden="1" min="3095" max="3099"/>
    <col width="5.81640625" customWidth="1" min="3100" max="3100"/>
    <col hidden="1" min="3101" max="3105"/>
    <col width="5.26953125" customWidth="1" min="3106" max="3106"/>
    <col hidden="1" min="3107" max="3111"/>
    <col width="5" customWidth="1" min="3112" max="3112"/>
    <col hidden="1" min="3113" max="3117"/>
    <col width="5.08984375" customWidth="1" min="3118" max="3118"/>
    <col hidden="1" min="3119" max="3123"/>
    <col width="4.81640625" customWidth="1" min="3124" max="3124"/>
    <col hidden="1" min="3125" max="3129"/>
    <col width="4.81640625" customWidth="1" min="3130" max="3130"/>
    <col hidden="1" min="3131" max="3135"/>
    <col width="5.453125" customWidth="1" min="3136" max="3136"/>
    <col hidden="1" min="3137" max="3141"/>
    <col width="5.36328125" customWidth="1" min="3142" max="3142"/>
    <col hidden="1" min="3143" max="3147"/>
    <col width="5.36328125" customWidth="1" min="3148" max="3148"/>
    <col width="4.36328125" customWidth="1" min="3149" max="3149"/>
    <col width="5.36328125" customWidth="1" min="3150" max="3150"/>
    <col width="4.36328125" customWidth="1" min="3151" max="3151"/>
    <col width="5.90625" customWidth="1" min="3152" max="3152"/>
    <col width="4.90625" customWidth="1" min="3153" max="3153"/>
    <col width="6.36328125" customWidth="1" min="3154" max="3154"/>
    <col width="5.90625" customWidth="1" min="3155" max="3155"/>
    <col width="11.36328125" customWidth="1" min="3156" max="3156"/>
    <col width="3.1796875" customWidth="1" min="3329" max="3329"/>
    <col width="4.08984375" customWidth="1" min="3330" max="3330"/>
    <col width="8.7265625" customWidth="1" min="3331" max="3331"/>
    <col width="11.26953125" bestFit="1" customWidth="1" min="3332" max="3332"/>
    <col hidden="1" min="3333" max="3337"/>
    <col width="5" customWidth="1" min="3338" max="3338"/>
    <col hidden="1" min="3339" max="3343"/>
    <col width="5.26953125" customWidth="1" min="3344" max="3344"/>
    <col hidden="1" min="3345" max="3349"/>
    <col width="5.26953125" customWidth="1" min="3350" max="3350"/>
    <col hidden="1" min="3351" max="3355"/>
    <col width="5.81640625" customWidth="1" min="3356" max="3356"/>
    <col hidden="1" min="3357" max="3361"/>
    <col width="5.26953125" customWidth="1" min="3362" max="3362"/>
    <col hidden="1" min="3363" max="3367"/>
    <col width="5" customWidth="1" min="3368" max="3368"/>
    <col hidden="1" min="3369" max="3373"/>
    <col width="5.08984375" customWidth="1" min="3374" max="3374"/>
    <col hidden="1" min="3375" max="3379"/>
    <col width="4.81640625" customWidth="1" min="3380" max="3380"/>
    <col hidden="1" min="3381" max="3385"/>
    <col width="4.81640625" customWidth="1" min="3386" max="3386"/>
    <col hidden="1" min="3387" max="3391"/>
    <col width="5.453125" customWidth="1" min="3392" max="3392"/>
    <col hidden="1" min="3393" max="3397"/>
    <col width="5.36328125" customWidth="1" min="3398" max="3398"/>
    <col hidden="1" min="3399" max="3403"/>
    <col width="5.36328125" customWidth="1" min="3404" max="3404"/>
    <col width="4.36328125" customWidth="1" min="3405" max="3405"/>
    <col width="5.36328125" customWidth="1" min="3406" max="3406"/>
    <col width="4.36328125" customWidth="1" min="3407" max="3407"/>
    <col width="5.90625" customWidth="1" min="3408" max="3408"/>
    <col width="4.90625" customWidth="1" min="3409" max="3409"/>
    <col width="6.36328125" customWidth="1" min="3410" max="3410"/>
    <col width="5.90625" customWidth="1" min="3411" max="3411"/>
    <col width="11.36328125" customWidth="1" min="3412" max="3412"/>
    <col width="3.1796875" customWidth="1" min="3585" max="3585"/>
    <col width="4.08984375" customWidth="1" min="3586" max="3586"/>
    <col width="8.7265625" customWidth="1" min="3587" max="3587"/>
    <col width="11.26953125" bestFit="1" customWidth="1" min="3588" max="3588"/>
    <col hidden="1" min="3589" max="3593"/>
    <col width="5" customWidth="1" min="3594" max="3594"/>
    <col hidden="1" min="3595" max="3599"/>
    <col width="5.26953125" customWidth="1" min="3600" max="3600"/>
    <col hidden="1" min="3601" max="3605"/>
    <col width="5.26953125" customWidth="1" min="3606" max="3606"/>
    <col hidden="1" min="3607" max="3611"/>
    <col width="5.81640625" customWidth="1" min="3612" max="3612"/>
    <col hidden="1" min="3613" max="3617"/>
    <col width="5.26953125" customWidth="1" min="3618" max="3618"/>
    <col hidden="1" min="3619" max="3623"/>
    <col width="5" customWidth="1" min="3624" max="3624"/>
    <col hidden="1" min="3625" max="3629"/>
    <col width="5.08984375" customWidth="1" min="3630" max="3630"/>
    <col hidden="1" min="3631" max="3635"/>
    <col width="4.81640625" customWidth="1" min="3636" max="3636"/>
    <col hidden="1" min="3637" max="3641"/>
    <col width="4.81640625" customWidth="1" min="3642" max="3642"/>
    <col hidden="1" min="3643" max="3647"/>
    <col width="5.453125" customWidth="1" min="3648" max="3648"/>
    <col hidden="1" min="3649" max="3653"/>
    <col width="5.36328125" customWidth="1" min="3654" max="3654"/>
    <col hidden="1" min="3655" max="3659"/>
    <col width="5.36328125" customWidth="1" min="3660" max="3660"/>
    <col width="4.36328125" customWidth="1" min="3661" max="3661"/>
    <col width="5.36328125" customWidth="1" min="3662" max="3662"/>
    <col width="4.36328125" customWidth="1" min="3663" max="3663"/>
    <col width="5.90625" customWidth="1" min="3664" max="3664"/>
    <col width="4.90625" customWidth="1" min="3665" max="3665"/>
    <col width="6.36328125" customWidth="1" min="3666" max="3666"/>
    <col width="5.90625" customWidth="1" min="3667" max="3667"/>
    <col width="11.36328125" customWidth="1" min="3668" max="3668"/>
    <col width="3.1796875" customWidth="1" min="3841" max="3841"/>
    <col width="4.08984375" customWidth="1" min="3842" max="3842"/>
    <col width="8.7265625" customWidth="1" min="3843" max="3843"/>
    <col width="11.26953125" bestFit="1" customWidth="1" min="3844" max="3844"/>
    <col hidden="1" min="3845" max="3849"/>
    <col width="5" customWidth="1" min="3850" max="3850"/>
    <col hidden="1" min="3851" max="3855"/>
    <col width="5.26953125" customWidth="1" min="3856" max="3856"/>
    <col hidden="1" min="3857" max="3861"/>
    <col width="5.26953125" customWidth="1" min="3862" max="3862"/>
    <col hidden="1" min="3863" max="3867"/>
    <col width="5.81640625" customWidth="1" min="3868" max="3868"/>
    <col hidden="1" min="3869" max="3873"/>
    <col width="5.26953125" customWidth="1" min="3874" max="3874"/>
    <col hidden="1" min="3875" max="3879"/>
    <col width="5" customWidth="1" min="3880" max="3880"/>
    <col hidden="1" min="3881" max="3885"/>
    <col width="5.08984375" customWidth="1" min="3886" max="3886"/>
    <col hidden="1" min="3887" max="3891"/>
    <col width="4.81640625" customWidth="1" min="3892" max="3892"/>
    <col hidden="1" min="3893" max="3897"/>
    <col width="4.81640625" customWidth="1" min="3898" max="3898"/>
    <col hidden="1" min="3899" max="3903"/>
    <col width="5.453125" customWidth="1" min="3904" max="3904"/>
    <col hidden="1" min="3905" max="3909"/>
    <col width="5.36328125" customWidth="1" min="3910" max="3910"/>
    <col hidden="1" min="3911" max="3915"/>
    <col width="5.36328125" customWidth="1" min="3916" max="3916"/>
    <col width="4.36328125" customWidth="1" min="3917" max="3917"/>
    <col width="5.36328125" customWidth="1" min="3918" max="3918"/>
    <col width="4.36328125" customWidth="1" min="3919" max="3919"/>
    <col width="5.90625" customWidth="1" min="3920" max="3920"/>
    <col width="4.90625" customWidth="1" min="3921" max="3921"/>
    <col width="6.36328125" customWidth="1" min="3922" max="3922"/>
    <col width="5.90625" customWidth="1" min="3923" max="3923"/>
    <col width="11.36328125" customWidth="1" min="3924" max="3924"/>
    <col width="3.1796875" customWidth="1" min="4097" max="4097"/>
    <col width="4.08984375" customWidth="1" min="4098" max="4098"/>
    <col width="8.7265625" customWidth="1" min="4099" max="4099"/>
    <col width="11.26953125" bestFit="1" customWidth="1" min="4100" max="4100"/>
    <col hidden="1" min="4101" max="4105"/>
    <col width="5" customWidth="1" min="4106" max="4106"/>
    <col hidden="1" min="4107" max="4111"/>
    <col width="5.26953125" customWidth="1" min="4112" max="4112"/>
    <col hidden="1" min="4113" max="4117"/>
    <col width="5.26953125" customWidth="1" min="4118" max="4118"/>
    <col hidden="1" min="4119" max="4123"/>
    <col width="5.81640625" customWidth="1" min="4124" max="4124"/>
    <col hidden="1" min="4125" max="4129"/>
    <col width="5.26953125" customWidth="1" min="4130" max="4130"/>
    <col hidden="1" min="4131" max="4135"/>
    <col width="5" customWidth="1" min="4136" max="4136"/>
    <col hidden="1" min="4137" max="4141"/>
    <col width="5.08984375" customWidth="1" min="4142" max="4142"/>
    <col hidden="1" min="4143" max="4147"/>
    <col width="4.81640625" customWidth="1" min="4148" max="4148"/>
    <col hidden="1" min="4149" max="4153"/>
    <col width="4.81640625" customWidth="1" min="4154" max="4154"/>
    <col hidden="1" min="4155" max="4159"/>
    <col width="5.453125" customWidth="1" min="4160" max="4160"/>
    <col hidden="1" min="4161" max="4165"/>
    <col width="5.36328125" customWidth="1" min="4166" max="4166"/>
    <col hidden="1" min="4167" max="4171"/>
    <col width="5.36328125" customWidth="1" min="4172" max="4172"/>
    <col width="4.36328125" customWidth="1" min="4173" max="4173"/>
    <col width="5.36328125" customWidth="1" min="4174" max="4174"/>
    <col width="4.36328125" customWidth="1" min="4175" max="4175"/>
    <col width="5.90625" customWidth="1" min="4176" max="4176"/>
    <col width="4.90625" customWidth="1" min="4177" max="4177"/>
    <col width="6.36328125" customWidth="1" min="4178" max="4178"/>
    <col width="5.90625" customWidth="1" min="4179" max="4179"/>
    <col width="11.36328125" customWidth="1" min="4180" max="4180"/>
    <col width="3.1796875" customWidth="1" min="4353" max="4353"/>
    <col width="4.08984375" customWidth="1" min="4354" max="4354"/>
    <col width="8.7265625" customWidth="1" min="4355" max="4355"/>
    <col width="11.26953125" bestFit="1" customWidth="1" min="4356" max="4356"/>
    <col hidden="1" min="4357" max="4361"/>
    <col width="5" customWidth="1" min="4362" max="4362"/>
    <col hidden="1" min="4363" max="4367"/>
    <col width="5.26953125" customWidth="1" min="4368" max="4368"/>
    <col hidden="1" min="4369" max="4373"/>
    <col width="5.26953125" customWidth="1" min="4374" max="4374"/>
    <col hidden="1" min="4375" max="4379"/>
    <col width="5.81640625" customWidth="1" min="4380" max="4380"/>
    <col hidden="1" min="4381" max="4385"/>
    <col width="5.26953125" customWidth="1" min="4386" max="4386"/>
    <col hidden="1" min="4387" max="4391"/>
    <col width="5" customWidth="1" min="4392" max="4392"/>
    <col hidden="1" min="4393" max="4397"/>
    <col width="5.08984375" customWidth="1" min="4398" max="4398"/>
    <col hidden="1" min="4399" max="4403"/>
    <col width="4.81640625" customWidth="1" min="4404" max="4404"/>
    <col hidden="1" min="4405" max="4409"/>
    <col width="4.81640625" customWidth="1" min="4410" max="4410"/>
    <col hidden="1" min="4411" max="4415"/>
    <col width="5.453125" customWidth="1" min="4416" max="4416"/>
    <col hidden="1" min="4417" max="4421"/>
    <col width="5.36328125" customWidth="1" min="4422" max="4422"/>
    <col hidden="1" min="4423" max="4427"/>
    <col width="5.36328125" customWidth="1" min="4428" max="4428"/>
    <col width="4.36328125" customWidth="1" min="4429" max="4429"/>
    <col width="5.36328125" customWidth="1" min="4430" max="4430"/>
    <col width="4.36328125" customWidth="1" min="4431" max="4431"/>
    <col width="5.90625" customWidth="1" min="4432" max="4432"/>
    <col width="4.90625" customWidth="1" min="4433" max="4433"/>
    <col width="6.36328125" customWidth="1" min="4434" max="4434"/>
    <col width="5.90625" customWidth="1" min="4435" max="4435"/>
    <col width="11.36328125" customWidth="1" min="4436" max="4436"/>
    <col width="3.1796875" customWidth="1" min="4609" max="4609"/>
    <col width="4.08984375" customWidth="1" min="4610" max="4610"/>
    <col width="8.7265625" customWidth="1" min="4611" max="4611"/>
    <col width="11.26953125" bestFit="1" customWidth="1" min="4612" max="4612"/>
    <col hidden="1" min="4613" max="4617"/>
    <col width="5" customWidth="1" min="4618" max="4618"/>
    <col hidden="1" min="4619" max="4623"/>
    <col width="5.26953125" customWidth="1" min="4624" max="4624"/>
    <col hidden="1" min="4625" max="4629"/>
    <col width="5.26953125" customWidth="1" min="4630" max="4630"/>
    <col hidden="1" min="4631" max="4635"/>
    <col width="5.81640625" customWidth="1" min="4636" max="4636"/>
    <col hidden="1" min="4637" max="4641"/>
    <col width="5.26953125" customWidth="1" min="4642" max="4642"/>
    <col hidden="1" min="4643" max="4647"/>
    <col width="5" customWidth="1" min="4648" max="4648"/>
    <col hidden="1" min="4649" max="4653"/>
    <col width="5.08984375" customWidth="1" min="4654" max="4654"/>
    <col hidden="1" min="4655" max="4659"/>
    <col width="4.81640625" customWidth="1" min="4660" max="4660"/>
    <col hidden="1" min="4661" max="4665"/>
    <col width="4.81640625" customWidth="1" min="4666" max="4666"/>
    <col hidden="1" min="4667" max="4671"/>
    <col width="5.453125" customWidth="1" min="4672" max="4672"/>
    <col hidden="1" min="4673" max="4677"/>
    <col width="5.36328125" customWidth="1" min="4678" max="4678"/>
    <col hidden="1" min="4679" max="4683"/>
    <col width="5.36328125" customWidth="1" min="4684" max="4684"/>
    <col width="4.36328125" customWidth="1" min="4685" max="4685"/>
    <col width="5.36328125" customWidth="1" min="4686" max="4686"/>
    <col width="4.36328125" customWidth="1" min="4687" max="4687"/>
    <col width="5.90625" customWidth="1" min="4688" max="4688"/>
    <col width="4.90625" customWidth="1" min="4689" max="4689"/>
    <col width="6.36328125" customWidth="1" min="4690" max="4690"/>
    <col width="5.90625" customWidth="1" min="4691" max="4691"/>
    <col width="11.36328125" customWidth="1" min="4692" max="4692"/>
    <col width="3.1796875" customWidth="1" min="4865" max="4865"/>
    <col width="4.08984375" customWidth="1" min="4866" max="4866"/>
    <col width="8.7265625" customWidth="1" min="4867" max="4867"/>
    <col width="11.26953125" bestFit="1" customWidth="1" min="4868" max="4868"/>
    <col hidden="1" min="4869" max="4873"/>
    <col width="5" customWidth="1" min="4874" max="4874"/>
    <col hidden="1" min="4875" max="4879"/>
    <col width="5.26953125" customWidth="1" min="4880" max="4880"/>
    <col hidden="1" min="4881" max="4885"/>
    <col width="5.26953125" customWidth="1" min="4886" max="4886"/>
    <col hidden="1" min="4887" max="4891"/>
    <col width="5.81640625" customWidth="1" min="4892" max="4892"/>
    <col hidden="1" min="4893" max="4897"/>
    <col width="5.26953125" customWidth="1" min="4898" max="4898"/>
    <col hidden="1" min="4899" max="4903"/>
    <col width="5" customWidth="1" min="4904" max="4904"/>
    <col hidden="1" min="4905" max="4909"/>
    <col width="5.08984375" customWidth="1" min="4910" max="4910"/>
    <col hidden="1" min="4911" max="4915"/>
    <col width="4.81640625" customWidth="1" min="4916" max="4916"/>
    <col hidden="1" min="4917" max="4921"/>
    <col width="4.81640625" customWidth="1" min="4922" max="4922"/>
    <col hidden="1" min="4923" max="4927"/>
    <col width="5.453125" customWidth="1" min="4928" max="4928"/>
    <col hidden="1" min="4929" max="4933"/>
    <col width="5.36328125" customWidth="1" min="4934" max="4934"/>
    <col hidden="1" min="4935" max="4939"/>
    <col width="5.36328125" customWidth="1" min="4940" max="4940"/>
    <col width="4.36328125" customWidth="1" min="4941" max="4941"/>
    <col width="5.36328125" customWidth="1" min="4942" max="4942"/>
    <col width="4.36328125" customWidth="1" min="4943" max="4943"/>
    <col width="5.90625" customWidth="1" min="4944" max="4944"/>
    <col width="4.90625" customWidth="1" min="4945" max="4945"/>
    <col width="6.36328125" customWidth="1" min="4946" max="4946"/>
    <col width="5.90625" customWidth="1" min="4947" max="4947"/>
    <col width="11.36328125" customWidth="1" min="4948" max="4948"/>
    <col width="3.1796875" customWidth="1" min="5121" max="5121"/>
    <col width="4.08984375" customWidth="1" min="5122" max="5122"/>
    <col width="8.7265625" customWidth="1" min="5123" max="5123"/>
    <col width="11.26953125" bestFit="1" customWidth="1" min="5124" max="5124"/>
    <col hidden="1" min="5125" max="5129"/>
    <col width="5" customWidth="1" min="5130" max="5130"/>
    <col hidden="1" min="5131" max="5135"/>
    <col width="5.26953125" customWidth="1" min="5136" max="5136"/>
    <col hidden="1" min="5137" max="5141"/>
    <col width="5.26953125" customWidth="1" min="5142" max="5142"/>
    <col hidden="1" min="5143" max="5147"/>
    <col width="5.81640625" customWidth="1" min="5148" max="5148"/>
    <col hidden="1" min="5149" max="5153"/>
    <col width="5.26953125" customWidth="1" min="5154" max="5154"/>
    <col hidden="1" min="5155" max="5159"/>
    <col width="5" customWidth="1" min="5160" max="5160"/>
    <col hidden="1" min="5161" max="5165"/>
    <col width="5.08984375" customWidth="1" min="5166" max="5166"/>
    <col hidden="1" min="5167" max="5171"/>
    <col width="4.81640625" customWidth="1" min="5172" max="5172"/>
    <col hidden="1" min="5173" max="5177"/>
    <col width="4.81640625" customWidth="1" min="5178" max="5178"/>
    <col hidden="1" min="5179" max="5183"/>
    <col width="5.453125" customWidth="1" min="5184" max="5184"/>
    <col hidden="1" min="5185" max="5189"/>
    <col width="5.36328125" customWidth="1" min="5190" max="5190"/>
    <col hidden="1" min="5191" max="5195"/>
    <col width="5.36328125" customWidth="1" min="5196" max="5196"/>
    <col width="4.36328125" customWidth="1" min="5197" max="5197"/>
    <col width="5.36328125" customWidth="1" min="5198" max="5198"/>
    <col width="4.36328125" customWidth="1" min="5199" max="5199"/>
    <col width="5.90625" customWidth="1" min="5200" max="5200"/>
    <col width="4.90625" customWidth="1" min="5201" max="5201"/>
    <col width="6.36328125" customWidth="1" min="5202" max="5202"/>
    <col width="5.90625" customWidth="1" min="5203" max="5203"/>
    <col width="11.36328125" customWidth="1" min="5204" max="5204"/>
    <col width="3.1796875" customWidth="1" min="5377" max="5377"/>
    <col width="4.08984375" customWidth="1" min="5378" max="5378"/>
    <col width="8.7265625" customWidth="1" min="5379" max="5379"/>
    <col width="11.26953125" bestFit="1" customWidth="1" min="5380" max="5380"/>
    <col hidden="1" min="5381" max="5385"/>
    <col width="5" customWidth="1" min="5386" max="5386"/>
    <col hidden="1" min="5387" max="5391"/>
    <col width="5.26953125" customWidth="1" min="5392" max="5392"/>
    <col hidden="1" min="5393" max="5397"/>
    <col width="5.26953125" customWidth="1" min="5398" max="5398"/>
    <col hidden="1" min="5399" max="5403"/>
    <col width="5.81640625" customWidth="1" min="5404" max="5404"/>
    <col hidden="1" min="5405" max="5409"/>
    <col width="5.26953125" customWidth="1" min="5410" max="5410"/>
    <col hidden="1" min="5411" max="5415"/>
    <col width="5" customWidth="1" min="5416" max="5416"/>
    <col hidden="1" min="5417" max="5421"/>
    <col width="5.08984375" customWidth="1" min="5422" max="5422"/>
    <col hidden="1" min="5423" max="5427"/>
    <col width="4.81640625" customWidth="1" min="5428" max="5428"/>
    <col hidden="1" min="5429" max="5433"/>
    <col width="4.81640625" customWidth="1" min="5434" max="5434"/>
    <col hidden="1" min="5435" max="5439"/>
    <col width="5.453125" customWidth="1" min="5440" max="5440"/>
    <col hidden="1" min="5441" max="5445"/>
    <col width="5.36328125" customWidth="1" min="5446" max="5446"/>
    <col hidden="1" min="5447" max="5451"/>
    <col width="5.36328125" customWidth="1" min="5452" max="5452"/>
    <col width="4.36328125" customWidth="1" min="5453" max="5453"/>
    <col width="5.36328125" customWidth="1" min="5454" max="5454"/>
    <col width="4.36328125" customWidth="1" min="5455" max="5455"/>
    <col width="5.90625" customWidth="1" min="5456" max="5456"/>
    <col width="4.90625" customWidth="1" min="5457" max="5457"/>
    <col width="6.36328125" customWidth="1" min="5458" max="5458"/>
    <col width="5.90625" customWidth="1" min="5459" max="5459"/>
    <col width="11.36328125" customWidth="1" min="5460" max="5460"/>
    <col width="3.1796875" customWidth="1" min="5633" max="5633"/>
    <col width="4.08984375" customWidth="1" min="5634" max="5634"/>
    <col width="8.7265625" customWidth="1" min="5635" max="5635"/>
    <col width="11.26953125" bestFit="1" customWidth="1" min="5636" max="5636"/>
    <col hidden="1" min="5637" max="5641"/>
    <col width="5" customWidth="1" min="5642" max="5642"/>
    <col hidden="1" min="5643" max="5647"/>
    <col width="5.26953125" customWidth="1" min="5648" max="5648"/>
    <col hidden="1" min="5649" max="5653"/>
    <col width="5.26953125" customWidth="1" min="5654" max="5654"/>
    <col hidden="1" min="5655" max="5659"/>
    <col width="5.81640625" customWidth="1" min="5660" max="5660"/>
    <col hidden="1" min="5661" max="5665"/>
    <col width="5.26953125" customWidth="1" min="5666" max="5666"/>
    <col hidden="1" min="5667" max="5671"/>
    <col width="5" customWidth="1" min="5672" max="5672"/>
    <col hidden="1" min="5673" max="5677"/>
    <col width="5.08984375" customWidth="1" min="5678" max="5678"/>
    <col hidden="1" min="5679" max="5683"/>
    <col width="4.81640625" customWidth="1" min="5684" max="5684"/>
    <col hidden="1" min="5685" max="5689"/>
    <col width="4.81640625" customWidth="1" min="5690" max="5690"/>
    <col hidden="1" min="5691" max="5695"/>
    <col width="5.453125" customWidth="1" min="5696" max="5696"/>
    <col hidden="1" min="5697" max="5701"/>
    <col width="5.36328125" customWidth="1" min="5702" max="5702"/>
    <col hidden="1" min="5703" max="5707"/>
    <col width="5.36328125" customWidth="1" min="5708" max="5708"/>
    <col width="4.36328125" customWidth="1" min="5709" max="5709"/>
    <col width="5.36328125" customWidth="1" min="5710" max="5710"/>
    <col width="4.36328125" customWidth="1" min="5711" max="5711"/>
    <col width="5.90625" customWidth="1" min="5712" max="5712"/>
    <col width="4.90625" customWidth="1" min="5713" max="5713"/>
    <col width="6.36328125" customWidth="1" min="5714" max="5714"/>
    <col width="5.90625" customWidth="1" min="5715" max="5715"/>
    <col width="11.36328125" customWidth="1" min="5716" max="5716"/>
    <col width="3.1796875" customWidth="1" min="5889" max="5889"/>
    <col width="4.08984375" customWidth="1" min="5890" max="5890"/>
    <col width="8.7265625" customWidth="1" min="5891" max="5891"/>
    <col width="11.26953125" bestFit="1" customWidth="1" min="5892" max="5892"/>
    <col hidden="1" min="5893" max="5897"/>
    <col width="5" customWidth="1" min="5898" max="5898"/>
    <col hidden="1" min="5899" max="5903"/>
    <col width="5.26953125" customWidth="1" min="5904" max="5904"/>
    <col hidden="1" min="5905" max="5909"/>
    <col width="5.26953125" customWidth="1" min="5910" max="5910"/>
    <col hidden="1" min="5911" max="5915"/>
    <col width="5.81640625" customWidth="1" min="5916" max="5916"/>
    <col hidden="1" min="5917" max="5921"/>
    <col width="5.26953125" customWidth="1" min="5922" max="5922"/>
    <col hidden="1" min="5923" max="5927"/>
    <col width="5" customWidth="1" min="5928" max="5928"/>
    <col hidden="1" min="5929" max="5933"/>
    <col width="5.08984375" customWidth="1" min="5934" max="5934"/>
    <col hidden="1" min="5935" max="5939"/>
    <col width="4.81640625" customWidth="1" min="5940" max="5940"/>
    <col hidden="1" min="5941" max="5945"/>
    <col width="4.81640625" customWidth="1" min="5946" max="5946"/>
    <col hidden="1" min="5947" max="5951"/>
    <col width="5.453125" customWidth="1" min="5952" max="5952"/>
    <col hidden="1" min="5953" max="5957"/>
    <col width="5.36328125" customWidth="1" min="5958" max="5958"/>
    <col hidden="1" min="5959" max="5963"/>
    <col width="5.36328125" customWidth="1" min="5964" max="5964"/>
    <col width="4.36328125" customWidth="1" min="5965" max="5965"/>
    <col width="5.36328125" customWidth="1" min="5966" max="5966"/>
    <col width="4.36328125" customWidth="1" min="5967" max="5967"/>
    <col width="5.90625" customWidth="1" min="5968" max="5968"/>
    <col width="4.90625" customWidth="1" min="5969" max="5969"/>
    <col width="6.36328125" customWidth="1" min="5970" max="5970"/>
    <col width="5.90625" customWidth="1" min="5971" max="5971"/>
    <col width="11.36328125" customWidth="1" min="5972" max="5972"/>
    <col width="3.1796875" customWidth="1" min="6145" max="6145"/>
    <col width="4.08984375" customWidth="1" min="6146" max="6146"/>
    <col width="8.7265625" customWidth="1" min="6147" max="6147"/>
    <col width="11.26953125" bestFit="1" customWidth="1" min="6148" max="6148"/>
    <col hidden="1" min="6149" max="6153"/>
    <col width="5" customWidth="1" min="6154" max="6154"/>
    <col hidden="1" min="6155" max="6159"/>
    <col width="5.26953125" customWidth="1" min="6160" max="6160"/>
    <col hidden="1" min="6161" max="6165"/>
    <col width="5.26953125" customWidth="1" min="6166" max="6166"/>
    <col hidden="1" min="6167" max="6171"/>
    <col width="5.81640625" customWidth="1" min="6172" max="6172"/>
    <col hidden="1" min="6173" max="6177"/>
    <col width="5.26953125" customWidth="1" min="6178" max="6178"/>
    <col hidden="1" min="6179" max="6183"/>
    <col width="5" customWidth="1" min="6184" max="6184"/>
    <col hidden="1" min="6185" max="6189"/>
    <col width="5.08984375" customWidth="1" min="6190" max="6190"/>
    <col hidden="1" min="6191" max="6195"/>
    <col width="4.81640625" customWidth="1" min="6196" max="6196"/>
    <col hidden="1" min="6197" max="6201"/>
    <col width="4.81640625" customWidth="1" min="6202" max="6202"/>
    <col hidden="1" min="6203" max="6207"/>
    <col width="5.453125" customWidth="1" min="6208" max="6208"/>
    <col hidden="1" min="6209" max="6213"/>
    <col width="5.36328125" customWidth="1" min="6214" max="6214"/>
    <col hidden="1" min="6215" max="6219"/>
    <col width="5.36328125" customWidth="1" min="6220" max="6220"/>
    <col width="4.36328125" customWidth="1" min="6221" max="6221"/>
    <col width="5.36328125" customWidth="1" min="6222" max="6222"/>
    <col width="4.36328125" customWidth="1" min="6223" max="6223"/>
    <col width="5.90625" customWidth="1" min="6224" max="6224"/>
    <col width="4.90625" customWidth="1" min="6225" max="6225"/>
    <col width="6.36328125" customWidth="1" min="6226" max="6226"/>
    <col width="5.90625" customWidth="1" min="6227" max="6227"/>
    <col width="11.36328125" customWidth="1" min="6228" max="6228"/>
    <col width="3.1796875" customWidth="1" min="6401" max="6401"/>
    <col width="4.08984375" customWidth="1" min="6402" max="6402"/>
    <col width="8.7265625" customWidth="1" min="6403" max="6403"/>
    <col width="11.26953125" bestFit="1" customWidth="1" min="6404" max="6404"/>
    <col hidden="1" min="6405" max="6409"/>
    <col width="5" customWidth="1" min="6410" max="6410"/>
    <col hidden="1" min="6411" max="6415"/>
    <col width="5.26953125" customWidth="1" min="6416" max="6416"/>
    <col hidden="1" min="6417" max="6421"/>
    <col width="5.26953125" customWidth="1" min="6422" max="6422"/>
    <col hidden="1" min="6423" max="6427"/>
    <col width="5.81640625" customWidth="1" min="6428" max="6428"/>
    <col hidden="1" min="6429" max="6433"/>
    <col width="5.26953125" customWidth="1" min="6434" max="6434"/>
    <col hidden="1" min="6435" max="6439"/>
    <col width="5" customWidth="1" min="6440" max="6440"/>
    <col hidden="1" min="6441" max="6445"/>
    <col width="5.08984375" customWidth="1" min="6446" max="6446"/>
    <col hidden="1" min="6447" max="6451"/>
    <col width="4.81640625" customWidth="1" min="6452" max="6452"/>
    <col hidden="1" min="6453" max="6457"/>
    <col width="4.81640625" customWidth="1" min="6458" max="6458"/>
    <col hidden="1" min="6459" max="6463"/>
    <col width="5.453125" customWidth="1" min="6464" max="6464"/>
    <col hidden="1" min="6465" max="6469"/>
    <col width="5.36328125" customWidth="1" min="6470" max="6470"/>
    <col hidden="1" min="6471" max="6475"/>
    <col width="5.36328125" customWidth="1" min="6476" max="6476"/>
    <col width="4.36328125" customWidth="1" min="6477" max="6477"/>
    <col width="5.36328125" customWidth="1" min="6478" max="6478"/>
    <col width="4.36328125" customWidth="1" min="6479" max="6479"/>
    <col width="5.90625" customWidth="1" min="6480" max="6480"/>
    <col width="4.90625" customWidth="1" min="6481" max="6481"/>
    <col width="6.36328125" customWidth="1" min="6482" max="6482"/>
    <col width="5.90625" customWidth="1" min="6483" max="6483"/>
    <col width="11.36328125" customWidth="1" min="6484" max="6484"/>
    <col width="3.1796875" customWidth="1" min="6657" max="6657"/>
    <col width="4.08984375" customWidth="1" min="6658" max="6658"/>
    <col width="8.7265625" customWidth="1" min="6659" max="6659"/>
    <col width="11.26953125" bestFit="1" customWidth="1" min="6660" max="6660"/>
    <col hidden="1" min="6661" max="6665"/>
    <col width="5" customWidth="1" min="6666" max="6666"/>
    <col hidden="1" min="6667" max="6671"/>
    <col width="5.26953125" customWidth="1" min="6672" max="6672"/>
    <col hidden="1" min="6673" max="6677"/>
    <col width="5.26953125" customWidth="1" min="6678" max="6678"/>
    <col hidden="1" min="6679" max="6683"/>
    <col width="5.81640625" customWidth="1" min="6684" max="6684"/>
    <col hidden="1" min="6685" max="6689"/>
    <col width="5.26953125" customWidth="1" min="6690" max="6690"/>
    <col hidden="1" min="6691" max="6695"/>
    <col width="5" customWidth="1" min="6696" max="6696"/>
    <col hidden="1" min="6697" max="6701"/>
    <col width="5.08984375" customWidth="1" min="6702" max="6702"/>
    <col hidden="1" min="6703" max="6707"/>
    <col width="4.81640625" customWidth="1" min="6708" max="6708"/>
    <col hidden="1" min="6709" max="6713"/>
    <col width="4.81640625" customWidth="1" min="6714" max="6714"/>
    <col hidden="1" min="6715" max="6719"/>
    <col width="5.453125" customWidth="1" min="6720" max="6720"/>
    <col hidden="1" min="6721" max="6725"/>
    <col width="5.36328125" customWidth="1" min="6726" max="6726"/>
    <col hidden="1" min="6727" max="6731"/>
    <col width="5.36328125" customWidth="1" min="6732" max="6732"/>
    <col width="4.36328125" customWidth="1" min="6733" max="6733"/>
    <col width="5.36328125" customWidth="1" min="6734" max="6734"/>
    <col width="4.36328125" customWidth="1" min="6735" max="6735"/>
    <col width="5.90625" customWidth="1" min="6736" max="6736"/>
    <col width="4.90625" customWidth="1" min="6737" max="6737"/>
    <col width="6.36328125" customWidth="1" min="6738" max="6738"/>
    <col width="5.90625" customWidth="1" min="6739" max="6739"/>
    <col width="11.36328125" customWidth="1" min="6740" max="6740"/>
    <col width="3.1796875" customWidth="1" min="6913" max="6913"/>
    <col width="4.08984375" customWidth="1" min="6914" max="6914"/>
    <col width="8.7265625" customWidth="1" min="6915" max="6915"/>
    <col width="11.26953125" bestFit="1" customWidth="1" min="6916" max="6916"/>
    <col hidden="1" min="6917" max="6921"/>
    <col width="5" customWidth="1" min="6922" max="6922"/>
    <col hidden="1" min="6923" max="6927"/>
    <col width="5.26953125" customWidth="1" min="6928" max="6928"/>
    <col hidden="1" min="6929" max="6933"/>
    <col width="5.26953125" customWidth="1" min="6934" max="6934"/>
    <col hidden="1" min="6935" max="6939"/>
    <col width="5.81640625" customWidth="1" min="6940" max="6940"/>
    <col hidden="1" min="6941" max="6945"/>
    <col width="5.26953125" customWidth="1" min="6946" max="6946"/>
    <col hidden="1" min="6947" max="6951"/>
    <col width="5" customWidth="1" min="6952" max="6952"/>
    <col hidden="1" min="6953" max="6957"/>
    <col width="5.08984375" customWidth="1" min="6958" max="6958"/>
    <col hidden="1" min="6959" max="6963"/>
    <col width="4.81640625" customWidth="1" min="6964" max="6964"/>
    <col hidden="1" min="6965" max="6969"/>
    <col width="4.81640625" customWidth="1" min="6970" max="6970"/>
    <col hidden="1" min="6971" max="6975"/>
    <col width="5.453125" customWidth="1" min="6976" max="6976"/>
    <col hidden="1" min="6977" max="6981"/>
    <col width="5.36328125" customWidth="1" min="6982" max="6982"/>
    <col hidden="1" min="6983" max="6987"/>
    <col width="5.36328125" customWidth="1" min="6988" max="6988"/>
    <col width="4.36328125" customWidth="1" min="6989" max="6989"/>
    <col width="5.36328125" customWidth="1" min="6990" max="6990"/>
    <col width="4.36328125" customWidth="1" min="6991" max="6991"/>
    <col width="5.90625" customWidth="1" min="6992" max="6992"/>
    <col width="4.90625" customWidth="1" min="6993" max="6993"/>
    <col width="6.36328125" customWidth="1" min="6994" max="6994"/>
    <col width="5.90625" customWidth="1" min="6995" max="6995"/>
    <col width="11.36328125" customWidth="1" min="6996" max="6996"/>
    <col width="3.1796875" customWidth="1" min="7169" max="7169"/>
    <col width="4.08984375" customWidth="1" min="7170" max="7170"/>
    <col width="8.7265625" customWidth="1" min="7171" max="7171"/>
    <col width="11.26953125" bestFit="1" customWidth="1" min="7172" max="7172"/>
    <col hidden="1" min="7173" max="7177"/>
    <col width="5" customWidth="1" min="7178" max="7178"/>
    <col hidden="1" min="7179" max="7183"/>
    <col width="5.26953125" customWidth="1" min="7184" max="7184"/>
    <col hidden="1" min="7185" max="7189"/>
    <col width="5.26953125" customWidth="1" min="7190" max="7190"/>
    <col hidden="1" min="7191" max="7195"/>
    <col width="5.81640625" customWidth="1" min="7196" max="7196"/>
    <col hidden="1" min="7197" max="7201"/>
    <col width="5.26953125" customWidth="1" min="7202" max="7202"/>
    <col hidden="1" min="7203" max="7207"/>
    <col width="5" customWidth="1" min="7208" max="7208"/>
    <col hidden="1" min="7209" max="7213"/>
    <col width="5.08984375" customWidth="1" min="7214" max="7214"/>
    <col hidden="1" min="7215" max="7219"/>
    <col width="4.81640625" customWidth="1" min="7220" max="7220"/>
    <col hidden="1" min="7221" max="7225"/>
    <col width="4.81640625" customWidth="1" min="7226" max="7226"/>
    <col hidden="1" min="7227" max="7231"/>
    <col width="5.453125" customWidth="1" min="7232" max="7232"/>
    <col hidden="1" min="7233" max="7237"/>
    <col width="5.36328125" customWidth="1" min="7238" max="7238"/>
    <col hidden="1" min="7239" max="7243"/>
    <col width="5.36328125" customWidth="1" min="7244" max="7244"/>
    <col width="4.36328125" customWidth="1" min="7245" max="7245"/>
    <col width="5.36328125" customWidth="1" min="7246" max="7246"/>
    <col width="4.36328125" customWidth="1" min="7247" max="7247"/>
    <col width="5.90625" customWidth="1" min="7248" max="7248"/>
    <col width="4.90625" customWidth="1" min="7249" max="7249"/>
    <col width="6.36328125" customWidth="1" min="7250" max="7250"/>
    <col width="5.90625" customWidth="1" min="7251" max="7251"/>
    <col width="11.36328125" customWidth="1" min="7252" max="7252"/>
    <col width="3.1796875" customWidth="1" min="7425" max="7425"/>
    <col width="4.08984375" customWidth="1" min="7426" max="7426"/>
    <col width="8.7265625" customWidth="1" min="7427" max="7427"/>
    <col width="11.26953125" bestFit="1" customWidth="1" min="7428" max="7428"/>
    <col hidden="1" min="7429" max="7433"/>
    <col width="5" customWidth="1" min="7434" max="7434"/>
    <col hidden="1" min="7435" max="7439"/>
    <col width="5.26953125" customWidth="1" min="7440" max="7440"/>
    <col hidden="1" min="7441" max="7445"/>
    <col width="5.26953125" customWidth="1" min="7446" max="7446"/>
    <col hidden="1" min="7447" max="7451"/>
    <col width="5.81640625" customWidth="1" min="7452" max="7452"/>
    <col hidden="1" min="7453" max="7457"/>
    <col width="5.26953125" customWidth="1" min="7458" max="7458"/>
    <col hidden="1" min="7459" max="7463"/>
    <col width="5" customWidth="1" min="7464" max="7464"/>
    <col hidden="1" min="7465" max="7469"/>
    <col width="5.08984375" customWidth="1" min="7470" max="7470"/>
    <col hidden="1" min="7471" max="7475"/>
    <col width="4.81640625" customWidth="1" min="7476" max="7476"/>
    <col hidden="1" min="7477" max="7481"/>
    <col width="4.81640625" customWidth="1" min="7482" max="7482"/>
    <col hidden="1" min="7483" max="7487"/>
    <col width="5.453125" customWidth="1" min="7488" max="7488"/>
    <col hidden="1" min="7489" max="7493"/>
    <col width="5.36328125" customWidth="1" min="7494" max="7494"/>
    <col hidden="1" min="7495" max="7499"/>
    <col width="5.36328125" customWidth="1" min="7500" max="7500"/>
    <col width="4.36328125" customWidth="1" min="7501" max="7501"/>
    <col width="5.36328125" customWidth="1" min="7502" max="7502"/>
    <col width="4.36328125" customWidth="1" min="7503" max="7503"/>
    <col width="5.90625" customWidth="1" min="7504" max="7504"/>
    <col width="4.90625" customWidth="1" min="7505" max="7505"/>
    <col width="6.36328125" customWidth="1" min="7506" max="7506"/>
    <col width="5.90625" customWidth="1" min="7507" max="7507"/>
    <col width="11.36328125" customWidth="1" min="7508" max="7508"/>
    <col width="3.1796875" customWidth="1" min="7681" max="7681"/>
    <col width="4.08984375" customWidth="1" min="7682" max="7682"/>
    <col width="8.7265625" customWidth="1" min="7683" max="7683"/>
    <col width="11.26953125" bestFit="1" customWidth="1" min="7684" max="7684"/>
    <col hidden="1" min="7685" max="7689"/>
    <col width="5" customWidth="1" min="7690" max="7690"/>
    <col hidden="1" min="7691" max="7695"/>
    <col width="5.26953125" customWidth="1" min="7696" max="7696"/>
    <col hidden="1" min="7697" max="7701"/>
    <col width="5.26953125" customWidth="1" min="7702" max="7702"/>
    <col hidden="1" min="7703" max="7707"/>
    <col width="5.81640625" customWidth="1" min="7708" max="7708"/>
    <col hidden="1" min="7709" max="7713"/>
    <col width="5.26953125" customWidth="1" min="7714" max="7714"/>
    <col hidden="1" min="7715" max="7719"/>
    <col width="5" customWidth="1" min="7720" max="7720"/>
    <col hidden="1" min="7721" max="7725"/>
    <col width="5.08984375" customWidth="1" min="7726" max="7726"/>
    <col hidden="1" min="7727" max="7731"/>
    <col width="4.81640625" customWidth="1" min="7732" max="7732"/>
    <col hidden="1" min="7733" max="7737"/>
    <col width="4.81640625" customWidth="1" min="7738" max="7738"/>
    <col hidden="1" min="7739" max="7743"/>
    <col width="5.453125" customWidth="1" min="7744" max="7744"/>
    <col hidden="1" min="7745" max="7749"/>
    <col width="5.36328125" customWidth="1" min="7750" max="7750"/>
    <col hidden="1" min="7751" max="7755"/>
    <col width="5.36328125" customWidth="1" min="7756" max="7756"/>
    <col width="4.36328125" customWidth="1" min="7757" max="7757"/>
    <col width="5.36328125" customWidth="1" min="7758" max="7758"/>
    <col width="4.36328125" customWidth="1" min="7759" max="7759"/>
    <col width="5.90625" customWidth="1" min="7760" max="7760"/>
    <col width="4.90625" customWidth="1" min="7761" max="7761"/>
    <col width="6.36328125" customWidth="1" min="7762" max="7762"/>
    <col width="5.90625" customWidth="1" min="7763" max="7763"/>
    <col width="11.36328125" customWidth="1" min="7764" max="7764"/>
    <col width="3.1796875" customWidth="1" min="7937" max="7937"/>
    <col width="4.08984375" customWidth="1" min="7938" max="7938"/>
    <col width="8.7265625" customWidth="1" min="7939" max="7939"/>
    <col width="11.26953125" bestFit="1" customWidth="1" min="7940" max="7940"/>
    <col hidden="1" min="7941" max="7945"/>
    <col width="5" customWidth="1" min="7946" max="7946"/>
    <col hidden="1" min="7947" max="7951"/>
    <col width="5.26953125" customWidth="1" min="7952" max="7952"/>
    <col hidden="1" min="7953" max="7957"/>
    <col width="5.26953125" customWidth="1" min="7958" max="7958"/>
    <col hidden="1" min="7959" max="7963"/>
    <col width="5.81640625" customWidth="1" min="7964" max="7964"/>
    <col hidden="1" min="7965" max="7969"/>
    <col width="5.26953125" customWidth="1" min="7970" max="7970"/>
    <col hidden="1" min="7971" max="7975"/>
    <col width="5" customWidth="1" min="7976" max="7976"/>
    <col hidden="1" min="7977" max="7981"/>
    <col width="5.08984375" customWidth="1" min="7982" max="7982"/>
    <col hidden="1" min="7983" max="7987"/>
    <col width="4.81640625" customWidth="1" min="7988" max="7988"/>
    <col hidden="1" min="7989" max="7993"/>
    <col width="4.81640625" customWidth="1" min="7994" max="7994"/>
    <col hidden="1" min="7995" max="7999"/>
    <col width="5.453125" customWidth="1" min="8000" max="8000"/>
    <col hidden="1" min="8001" max="8005"/>
    <col width="5.36328125" customWidth="1" min="8006" max="8006"/>
    <col hidden="1" min="8007" max="8011"/>
    <col width="5.36328125" customWidth="1" min="8012" max="8012"/>
    <col width="4.36328125" customWidth="1" min="8013" max="8013"/>
    <col width="5.36328125" customWidth="1" min="8014" max="8014"/>
    <col width="4.36328125" customWidth="1" min="8015" max="8015"/>
    <col width="5.90625" customWidth="1" min="8016" max="8016"/>
    <col width="4.90625" customWidth="1" min="8017" max="8017"/>
    <col width="6.36328125" customWidth="1" min="8018" max="8018"/>
    <col width="5.90625" customWidth="1" min="8019" max="8019"/>
    <col width="11.36328125" customWidth="1" min="8020" max="8020"/>
    <col width="3.1796875" customWidth="1" min="8193" max="8193"/>
    <col width="4.08984375" customWidth="1" min="8194" max="8194"/>
    <col width="8.7265625" customWidth="1" min="8195" max="8195"/>
    <col width="11.26953125" bestFit="1" customWidth="1" min="8196" max="8196"/>
    <col hidden="1" min="8197" max="8201"/>
    <col width="5" customWidth="1" min="8202" max="8202"/>
    <col hidden="1" min="8203" max="8207"/>
    <col width="5.26953125" customWidth="1" min="8208" max="8208"/>
    <col hidden="1" min="8209" max="8213"/>
    <col width="5.26953125" customWidth="1" min="8214" max="8214"/>
    <col hidden="1" min="8215" max="8219"/>
    <col width="5.81640625" customWidth="1" min="8220" max="8220"/>
    <col hidden="1" min="8221" max="8225"/>
    <col width="5.26953125" customWidth="1" min="8226" max="8226"/>
    <col hidden="1" min="8227" max="8231"/>
    <col width="5" customWidth="1" min="8232" max="8232"/>
    <col hidden="1" min="8233" max="8237"/>
    <col width="5.08984375" customWidth="1" min="8238" max="8238"/>
    <col hidden="1" min="8239" max="8243"/>
    <col width="4.81640625" customWidth="1" min="8244" max="8244"/>
    <col hidden="1" min="8245" max="8249"/>
    <col width="4.81640625" customWidth="1" min="8250" max="8250"/>
    <col hidden="1" min="8251" max="8255"/>
    <col width="5.453125" customWidth="1" min="8256" max="8256"/>
    <col hidden="1" min="8257" max="8261"/>
    <col width="5.36328125" customWidth="1" min="8262" max="8262"/>
    <col hidden="1" min="8263" max="8267"/>
    <col width="5.36328125" customWidth="1" min="8268" max="8268"/>
    <col width="4.36328125" customWidth="1" min="8269" max="8269"/>
    <col width="5.36328125" customWidth="1" min="8270" max="8270"/>
    <col width="4.36328125" customWidth="1" min="8271" max="8271"/>
    <col width="5.90625" customWidth="1" min="8272" max="8272"/>
    <col width="4.90625" customWidth="1" min="8273" max="8273"/>
    <col width="6.36328125" customWidth="1" min="8274" max="8274"/>
    <col width="5.90625" customWidth="1" min="8275" max="8275"/>
    <col width="11.36328125" customWidth="1" min="8276" max="8276"/>
    <col width="3.1796875" customWidth="1" min="8449" max="8449"/>
    <col width="4.08984375" customWidth="1" min="8450" max="8450"/>
    <col width="8.7265625" customWidth="1" min="8451" max="8451"/>
    <col width="11.26953125" bestFit="1" customWidth="1" min="8452" max="8452"/>
    <col hidden="1" min="8453" max="8457"/>
    <col width="5" customWidth="1" min="8458" max="8458"/>
    <col hidden="1" min="8459" max="8463"/>
    <col width="5.26953125" customWidth="1" min="8464" max="8464"/>
    <col hidden="1" min="8465" max="8469"/>
    <col width="5.26953125" customWidth="1" min="8470" max="8470"/>
    <col hidden="1" min="8471" max="8475"/>
    <col width="5.81640625" customWidth="1" min="8476" max="8476"/>
    <col hidden="1" min="8477" max="8481"/>
    <col width="5.26953125" customWidth="1" min="8482" max="8482"/>
    <col hidden="1" min="8483" max="8487"/>
    <col width="5" customWidth="1" min="8488" max="8488"/>
    <col hidden="1" min="8489" max="8493"/>
    <col width="5.08984375" customWidth="1" min="8494" max="8494"/>
    <col hidden="1" min="8495" max="8499"/>
    <col width="4.81640625" customWidth="1" min="8500" max="8500"/>
    <col hidden="1" min="8501" max="8505"/>
    <col width="4.81640625" customWidth="1" min="8506" max="8506"/>
    <col hidden="1" min="8507" max="8511"/>
    <col width="5.453125" customWidth="1" min="8512" max="8512"/>
    <col hidden="1" min="8513" max="8517"/>
    <col width="5.36328125" customWidth="1" min="8518" max="8518"/>
    <col hidden="1" min="8519" max="8523"/>
    <col width="5.36328125" customWidth="1" min="8524" max="8524"/>
    <col width="4.36328125" customWidth="1" min="8525" max="8525"/>
    <col width="5.36328125" customWidth="1" min="8526" max="8526"/>
    <col width="4.36328125" customWidth="1" min="8527" max="8527"/>
    <col width="5.90625" customWidth="1" min="8528" max="8528"/>
    <col width="4.90625" customWidth="1" min="8529" max="8529"/>
    <col width="6.36328125" customWidth="1" min="8530" max="8530"/>
    <col width="5.90625" customWidth="1" min="8531" max="8531"/>
    <col width="11.36328125" customWidth="1" min="8532" max="8532"/>
    <col width="3.1796875" customWidth="1" min="8705" max="8705"/>
    <col width="4.08984375" customWidth="1" min="8706" max="8706"/>
    <col width="8.7265625" customWidth="1" min="8707" max="8707"/>
    <col width="11.26953125" bestFit="1" customWidth="1" min="8708" max="8708"/>
    <col hidden="1" min="8709" max="8713"/>
    <col width="5" customWidth="1" min="8714" max="8714"/>
    <col hidden="1" min="8715" max="8719"/>
    <col width="5.26953125" customWidth="1" min="8720" max="8720"/>
    <col hidden="1" min="8721" max="8725"/>
    <col width="5.26953125" customWidth="1" min="8726" max="8726"/>
    <col hidden="1" min="8727" max="8731"/>
    <col width="5.81640625" customWidth="1" min="8732" max="8732"/>
    <col hidden="1" min="8733" max="8737"/>
    <col width="5.26953125" customWidth="1" min="8738" max="8738"/>
    <col hidden="1" min="8739" max="8743"/>
    <col width="5" customWidth="1" min="8744" max="8744"/>
    <col hidden="1" min="8745" max="8749"/>
    <col width="5.08984375" customWidth="1" min="8750" max="8750"/>
    <col hidden="1" min="8751" max="8755"/>
    <col width="4.81640625" customWidth="1" min="8756" max="8756"/>
    <col hidden="1" min="8757" max="8761"/>
    <col width="4.81640625" customWidth="1" min="8762" max="8762"/>
    <col hidden="1" min="8763" max="8767"/>
    <col width="5.453125" customWidth="1" min="8768" max="8768"/>
    <col hidden="1" min="8769" max="8773"/>
    <col width="5.36328125" customWidth="1" min="8774" max="8774"/>
    <col hidden="1" min="8775" max="8779"/>
    <col width="5.36328125" customWidth="1" min="8780" max="8780"/>
    <col width="4.36328125" customWidth="1" min="8781" max="8781"/>
    <col width="5.36328125" customWidth="1" min="8782" max="8782"/>
    <col width="4.36328125" customWidth="1" min="8783" max="8783"/>
    <col width="5.90625" customWidth="1" min="8784" max="8784"/>
    <col width="4.90625" customWidth="1" min="8785" max="8785"/>
    <col width="6.36328125" customWidth="1" min="8786" max="8786"/>
    <col width="5.90625" customWidth="1" min="8787" max="8787"/>
    <col width="11.36328125" customWidth="1" min="8788" max="8788"/>
    <col width="3.1796875" customWidth="1" min="8961" max="8961"/>
    <col width="4.08984375" customWidth="1" min="8962" max="8962"/>
    <col width="8.7265625" customWidth="1" min="8963" max="8963"/>
    <col width="11.26953125" bestFit="1" customWidth="1" min="8964" max="8964"/>
    <col hidden="1" min="8965" max="8969"/>
    <col width="5" customWidth="1" min="8970" max="8970"/>
    <col hidden="1" min="8971" max="8975"/>
    <col width="5.26953125" customWidth="1" min="8976" max="8976"/>
    <col hidden="1" min="8977" max="8981"/>
    <col width="5.26953125" customWidth="1" min="8982" max="8982"/>
    <col hidden="1" min="8983" max="8987"/>
    <col width="5.81640625" customWidth="1" min="8988" max="8988"/>
    <col hidden="1" min="8989" max="8993"/>
    <col width="5.26953125" customWidth="1" min="8994" max="8994"/>
    <col hidden="1" min="8995" max="8999"/>
    <col width="5" customWidth="1" min="9000" max="9000"/>
    <col hidden="1" min="9001" max="9005"/>
    <col width="5.08984375" customWidth="1" min="9006" max="9006"/>
    <col hidden="1" min="9007" max="9011"/>
    <col width="4.81640625" customWidth="1" min="9012" max="9012"/>
    <col hidden="1" min="9013" max="9017"/>
    <col width="4.81640625" customWidth="1" min="9018" max="9018"/>
    <col hidden="1" min="9019" max="9023"/>
    <col width="5.453125" customWidth="1" min="9024" max="9024"/>
    <col hidden="1" min="9025" max="9029"/>
    <col width="5.36328125" customWidth="1" min="9030" max="9030"/>
    <col hidden="1" min="9031" max="9035"/>
    <col width="5.36328125" customWidth="1" min="9036" max="9036"/>
    <col width="4.36328125" customWidth="1" min="9037" max="9037"/>
    <col width="5.36328125" customWidth="1" min="9038" max="9038"/>
    <col width="4.36328125" customWidth="1" min="9039" max="9039"/>
    <col width="5.90625" customWidth="1" min="9040" max="9040"/>
    <col width="4.90625" customWidth="1" min="9041" max="9041"/>
    <col width="6.36328125" customWidth="1" min="9042" max="9042"/>
    <col width="5.90625" customWidth="1" min="9043" max="9043"/>
    <col width="11.36328125" customWidth="1" min="9044" max="9044"/>
    <col width="3.1796875" customWidth="1" min="9217" max="9217"/>
    <col width="4.08984375" customWidth="1" min="9218" max="9218"/>
    <col width="8.7265625" customWidth="1" min="9219" max="9219"/>
    <col width="11.26953125" bestFit="1" customWidth="1" min="9220" max="9220"/>
    <col hidden="1" min="9221" max="9225"/>
    <col width="5" customWidth="1" min="9226" max="9226"/>
    <col hidden="1" min="9227" max="9231"/>
    <col width="5.26953125" customWidth="1" min="9232" max="9232"/>
    <col hidden="1" min="9233" max="9237"/>
    <col width="5.26953125" customWidth="1" min="9238" max="9238"/>
    <col hidden="1" min="9239" max="9243"/>
    <col width="5.81640625" customWidth="1" min="9244" max="9244"/>
    <col hidden="1" min="9245" max="9249"/>
    <col width="5.26953125" customWidth="1" min="9250" max="9250"/>
    <col hidden="1" min="9251" max="9255"/>
    <col width="5" customWidth="1" min="9256" max="9256"/>
    <col hidden="1" min="9257" max="9261"/>
    <col width="5.08984375" customWidth="1" min="9262" max="9262"/>
    <col hidden="1" min="9263" max="9267"/>
    <col width="4.81640625" customWidth="1" min="9268" max="9268"/>
    <col hidden="1" min="9269" max="9273"/>
    <col width="4.81640625" customWidth="1" min="9274" max="9274"/>
    <col hidden="1" min="9275" max="9279"/>
    <col width="5.453125" customWidth="1" min="9280" max="9280"/>
    <col hidden="1" min="9281" max="9285"/>
    <col width="5.36328125" customWidth="1" min="9286" max="9286"/>
    <col hidden="1" min="9287" max="9291"/>
    <col width="5.36328125" customWidth="1" min="9292" max="9292"/>
    <col width="4.36328125" customWidth="1" min="9293" max="9293"/>
    <col width="5.36328125" customWidth="1" min="9294" max="9294"/>
    <col width="4.36328125" customWidth="1" min="9295" max="9295"/>
    <col width="5.90625" customWidth="1" min="9296" max="9296"/>
    <col width="4.90625" customWidth="1" min="9297" max="9297"/>
    <col width="6.36328125" customWidth="1" min="9298" max="9298"/>
    <col width="5.90625" customWidth="1" min="9299" max="9299"/>
    <col width="11.36328125" customWidth="1" min="9300" max="9300"/>
    <col width="3.1796875" customWidth="1" min="9473" max="9473"/>
    <col width="4.08984375" customWidth="1" min="9474" max="9474"/>
    <col width="8.7265625" customWidth="1" min="9475" max="9475"/>
    <col width="11.26953125" bestFit="1" customWidth="1" min="9476" max="9476"/>
    <col hidden="1" min="9477" max="9481"/>
    <col width="5" customWidth="1" min="9482" max="9482"/>
    <col hidden="1" min="9483" max="9487"/>
    <col width="5.26953125" customWidth="1" min="9488" max="9488"/>
    <col hidden="1" min="9489" max="9493"/>
    <col width="5.26953125" customWidth="1" min="9494" max="9494"/>
    <col hidden="1" min="9495" max="9499"/>
    <col width="5.81640625" customWidth="1" min="9500" max="9500"/>
    <col hidden="1" min="9501" max="9505"/>
    <col width="5.26953125" customWidth="1" min="9506" max="9506"/>
    <col hidden="1" min="9507" max="9511"/>
    <col width="5" customWidth="1" min="9512" max="9512"/>
    <col hidden="1" min="9513" max="9517"/>
    <col width="5.08984375" customWidth="1" min="9518" max="9518"/>
    <col hidden="1" min="9519" max="9523"/>
    <col width="4.81640625" customWidth="1" min="9524" max="9524"/>
    <col hidden="1" min="9525" max="9529"/>
    <col width="4.81640625" customWidth="1" min="9530" max="9530"/>
    <col hidden="1" min="9531" max="9535"/>
    <col width="5.453125" customWidth="1" min="9536" max="9536"/>
    <col hidden="1" min="9537" max="9541"/>
    <col width="5.36328125" customWidth="1" min="9542" max="9542"/>
    <col hidden="1" min="9543" max="9547"/>
    <col width="5.36328125" customWidth="1" min="9548" max="9548"/>
    <col width="4.36328125" customWidth="1" min="9549" max="9549"/>
    <col width="5.36328125" customWidth="1" min="9550" max="9550"/>
    <col width="4.36328125" customWidth="1" min="9551" max="9551"/>
    <col width="5.90625" customWidth="1" min="9552" max="9552"/>
    <col width="4.90625" customWidth="1" min="9553" max="9553"/>
    <col width="6.36328125" customWidth="1" min="9554" max="9554"/>
    <col width="5.90625" customWidth="1" min="9555" max="9555"/>
    <col width="11.36328125" customWidth="1" min="9556" max="9556"/>
    <col width="3.1796875" customWidth="1" min="9729" max="9729"/>
    <col width="4.08984375" customWidth="1" min="9730" max="9730"/>
    <col width="8.7265625" customWidth="1" min="9731" max="9731"/>
    <col width="11.26953125" bestFit="1" customWidth="1" min="9732" max="9732"/>
    <col hidden="1" min="9733" max="9737"/>
    <col width="5" customWidth="1" min="9738" max="9738"/>
    <col hidden="1" min="9739" max="9743"/>
    <col width="5.26953125" customWidth="1" min="9744" max="9744"/>
    <col hidden="1" min="9745" max="9749"/>
    <col width="5.26953125" customWidth="1" min="9750" max="9750"/>
    <col hidden="1" min="9751" max="9755"/>
    <col width="5.81640625" customWidth="1" min="9756" max="9756"/>
    <col hidden="1" min="9757" max="9761"/>
    <col width="5.26953125" customWidth="1" min="9762" max="9762"/>
    <col hidden="1" min="9763" max="9767"/>
    <col width="5" customWidth="1" min="9768" max="9768"/>
    <col hidden="1" min="9769" max="9773"/>
    <col width="5.08984375" customWidth="1" min="9774" max="9774"/>
    <col hidden="1" min="9775" max="9779"/>
    <col width="4.81640625" customWidth="1" min="9780" max="9780"/>
    <col hidden="1" min="9781" max="9785"/>
    <col width="4.81640625" customWidth="1" min="9786" max="9786"/>
    <col hidden="1" min="9787" max="9791"/>
    <col width="5.453125" customWidth="1" min="9792" max="9792"/>
    <col hidden="1" min="9793" max="9797"/>
    <col width="5.36328125" customWidth="1" min="9798" max="9798"/>
    <col hidden="1" min="9799" max="9803"/>
    <col width="5.36328125" customWidth="1" min="9804" max="9804"/>
    <col width="4.36328125" customWidth="1" min="9805" max="9805"/>
    <col width="5.36328125" customWidth="1" min="9806" max="9806"/>
    <col width="4.36328125" customWidth="1" min="9807" max="9807"/>
    <col width="5.90625" customWidth="1" min="9808" max="9808"/>
    <col width="4.90625" customWidth="1" min="9809" max="9809"/>
    <col width="6.36328125" customWidth="1" min="9810" max="9810"/>
    <col width="5.90625" customWidth="1" min="9811" max="9811"/>
    <col width="11.36328125" customWidth="1" min="9812" max="9812"/>
    <col width="3.1796875" customWidth="1" min="9985" max="9985"/>
    <col width="4.08984375" customWidth="1" min="9986" max="9986"/>
    <col width="8.7265625" customWidth="1" min="9987" max="9987"/>
    <col width="11.26953125" bestFit="1" customWidth="1" min="9988" max="9988"/>
    <col hidden="1" min="9989" max="9993"/>
    <col width="5" customWidth="1" min="9994" max="9994"/>
    <col hidden="1" min="9995" max="9999"/>
    <col width="5.26953125" customWidth="1" min="10000" max="10000"/>
    <col hidden="1" min="10001" max="10005"/>
    <col width="5.26953125" customWidth="1" min="10006" max="10006"/>
    <col hidden="1" min="10007" max="10011"/>
    <col width="5.81640625" customWidth="1" min="10012" max="10012"/>
    <col hidden="1" min="10013" max="10017"/>
    <col width="5.26953125" customWidth="1" min="10018" max="10018"/>
    <col hidden="1" min="10019" max="10023"/>
    <col width="5" customWidth="1" min="10024" max="10024"/>
    <col hidden="1" min="10025" max="10029"/>
    <col width="5.08984375" customWidth="1" min="10030" max="10030"/>
    <col hidden="1" min="10031" max="10035"/>
    <col width="4.81640625" customWidth="1" min="10036" max="10036"/>
    <col hidden="1" min="10037" max="10041"/>
    <col width="4.81640625" customWidth="1" min="10042" max="10042"/>
    <col hidden="1" min="10043" max="10047"/>
    <col width="5.453125" customWidth="1" min="10048" max="10048"/>
    <col hidden="1" min="10049" max="10053"/>
    <col width="5.36328125" customWidth="1" min="10054" max="10054"/>
    <col hidden="1" min="10055" max="10059"/>
    <col width="5.36328125" customWidth="1" min="10060" max="10060"/>
    <col width="4.36328125" customWidth="1" min="10061" max="10061"/>
    <col width="5.36328125" customWidth="1" min="10062" max="10062"/>
    <col width="4.36328125" customWidth="1" min="10063" max="10063"/>
    <col width="5.90625" customWidth="1" min="10064" max="10064"/>
    <col width="4.90625" customWidth="1" min="10065" max="10065"/>
    <col width="6.36328125" customWidth="1" min="10066" max="10066"/>
    <col width="5.90625" customWidth="1" min="10067" max="10067"/>
    <col width="11.36328125" customWidth="1" min="10068" max="10068"/>
    <col width="3.1796875" customWidth="1" min="10241" max="10241"/>
    <col width="4.08984375" customWidth="1" min="10242" max="10242"/>
    <col width="8.7265625" customWidth="1" min="10243" max="10243"/>
    <col width="11.26953125" bestFit="1" customWidth="1" min="10244" max="10244"/>
    <col hidden="1" min="10245" max="10249"/>
    <col width="5" customWidth="1" min="10250" max="10250"/>
    <col hidden="1" min="10251" max="10255"/>
    <col width="5.26953125" customWidth="1" min="10256" max="10256"/>
    <col hidden="1" min="10257" max="10261"/>
    <col width="5.26953125" customWidth="1" min="10262" max="10262"/>
    <col hidden="1" min="10263" max="10267"/>
    <col width="5.81640625" customWidth="1" min="10268" max="10268"/>
    <col hidden="1" min="10269" max="10273"/>
    <col width="5.26953125" customWidth="1" min="10274" max="10274"/>
    <col hidden="1" min="10275" max="10279"/>
    <col width="5" customWidth="1" min="10280" max="10280"/>
    <col hidden="1" min="10281" max="10285"/>
    <col width="5.08984375" customWidth="1" min="10286" max="10286"/>
    <col hidden="1" min="10287" max="10291"/>
    <col width="4.81640625" customWidth="1" min="10292" max="10292"/>
    <col hidden="1" min="10293" max="10297"/>
    <col width="4.81640625" customWidth="1" min="10298" max="10298"/>
    <col hidden="1" min="10299" max="10303"/>
    <col width="5.453125" customWidth="1" min="10304" max="10304"/>
    <col hidden="1" min="10305" max="10309"/>
    <col width="5.36328125" customWidth="1" min="10310" max="10310"/>
    <col hidden="1" min="10311" max="10315"/>
    <col width="5.36328125" customWidth="1" min="10316" max="10316"/>
    <col width="4.36328125" customWidth="1" min="10317" max="10317"/>
    <col width="5.36328125" customWidth="1" min="10318" max="10318"/>
    <col width="4.36328125" customWidth="1" min="10319" max="10319"/>
    <col width="5.90625" customWidth="1" min="10320" max="10320"/>
    <col width="4.90625" customWidth="1" min="10321" max="10321"/>
    <col width="6.36328125" customWidth="1" min="10322" max="10322"/>
    <col width="5.90625" customWidth="1" min="10323" max="10323"/>
    <col width="11.36328125" customWidth="1" min="10324" max="10324"/>
    <col width="3.1796875" customWidth="1" min="10497" max="10497"/>
    <col width="4.08984375" customWidth="1" min="10498" max="10498"/>
    <col width="8.7265625" customWidth="1" min="10499" max="10499"/>
    <col width="11.26953125" bestFit="1" customWidth="1" min="10500" max="10500"/>
    <col hidden="1" min="10501" max="10505"/>
    <col width="5" customWidth="1" min="10506" max="10506"/>
    <col hidden="1" min="10507" max="10511"/>
    <col width="5.26953125" customWidth="1" min="10512" max="10512"/>
    <col hidden="1" min="10513" max="10517"/>
    <col width="5.26953125" customWidth="1" min="10518" max="10518"/>
    <col hidden="1" min="10519" max="10523"/>
    <col width="5.81640625" customWidth="1" min="10524" max="10524"/>
    <col hidden="1" min="10525" max="10529"/>
    <col width="5.26953125" customWidth="1" min="10530" max="10530"/>
    <col hidden="1" min="10531" max="10535"/>
    <col width="5" customWidth="1" min="10536" max="10536"/>
    <col hidden="1" min="10537" max="10541"/>
    <col width="5.08984375" customWidth="1" min="10542" max="10542"/>
    <col hidden="1" min="10543" max="10547"/>
    <col width="4.81640625" customWidth="1" min="10548" max="10548"/>
    <col hidden="1" min="10549" max="10553"/>
    <col width="4.81640625" customWidth="1" min="10554" max="10554"/>
    <col hidden="1" min="10555" max="10559"/>
    <col width="5.453125" customWidth="1" min="10560" max="10560"/>
    <col hidden="1" min="10561" max="10565"/>
    <col width="5.36328125" customWidth="1" min="10566" max="10566"/>
    <col hidden="1" min="10567" max="10571"/>
    <col width="5.36328125" customWidth="1" min="10572" max="10572"/>
    <col width="4.36328125" customWidth="1" min="10573" max="10573"/>
    <col width="5.36328125" customWidth="1" min="10574" max="10574"/>
    <col width="4.36328125" customWidth="1" min="10575" max="10575"/>
    <col width="5.90625" customWidth="1" min="10576" max="10576"/>
    <col width="4.90625" customWidth="1" min="10577" max="10577"/>
    <col width="6.36328125" customWidth="1" min="10578" max="10578"/>
    <col width="5.90625" customWidth="1" min="10579" max="10579"/>
    <col width="11.36328125" customWidth="1" min="10580" max="10580"/>
    <col width="3.1796875" customWidth="1" min="10753" max="10753"/>
    <col width="4.08984375" customWidth="1" min="10754" max="10754"/>
    <col width="8.7265625" customWidth="1" min="10755" max="10755"/>
    <col width="11.26953125" bestFit="1" customWidth="1" min="10756" max="10756"/>
    <col hidden="1" min="10757" max="10761"/>
    <col width="5" customWidth="1" min="10762" max="10762"/>
    <col hidden="1" min="10763" max="10767"/>
    <col width="5.26953125" customWidth="1" min="10768" max="10768"/>
    <col hidden="1" min="10769" max="10773"/>
    <col width="5.26953125" customWidth="1" min="10774" max="10774"/>
    <col hidden="1" min="10775" max="10779"/>
    <col width="5.81640625" customWidth="1" min="10780" max="10780"/>
    <col hidden="1" min="10781" max="10785"/>
    <col width="5.26953125" customWidth="1" min="10786" max="10786"/>
    <col hidden="1" min="10787" max="10791"/>
    <col width="5" customWidth="1" min="10792" max="10792"/>
    <col hidden="1" min="10793" max="10797"/>
    <col width="5.08984375" customWidth="1" min="10798" max="10798"/>
    <col hidden="1" min="10799" max="10803"/>
    <col width="4.81640625" customWidth="1" min="10804" max="10804"/>
    <col hidden="1" min="10805" max="10809"/>
    <col width="4.81640625" customWidth="1" min="10810" max="10810"/>
    <col hidden="1" min="10811" max="10815"/>
    <col width="5.453125" customWidth="1" min="10816" max="10816"/>
    <col hidden="1" min="10817" max="10821"/>
    <col width="5.36328125" customWidth="1" min="10822" max="10822"/>
    <col hidden="1" min="10823" max="10827"/>
    <col width="5.36328125" customWidth="1" min="10828" max="10828"/>
    <col width="4.36328125" customWidth="1" min="10829" max="10829"/>
    <col width="5.36328125" customWidth="1" min="10830" max="10830"/>
    <col width="4.36328125" customWidth="1" min="10831" max="10831"/>
    <col width="5.90625" customWidth="1" min="10832" max="10832"/>
    <col width="4.90625" customWidth="1" min="10833" max="10833"/>
    <col width="6.36328125" customWidth="1" min="10834" max="10834"/>
    <col width="5.90625" customWidth="1" min="10835" max="10835"/>
    <col width="11.36328125" customWidth="1" min="10836" max="10836"/>
    <col width="3.1796875" customWidth="1" min="11009" max="11009"/>
    <col width="4.08984375" customWidth="1" min="11010" max="11010"/>
    <col width="8.7265625" customWidth="1" min="11011" max="11011"/>
    <col width="11.26953125" bestFit="1" customWidth="1" min="11012" max="11012"/>
    <col hidden="1" min="11013" max="11017"/>
    <col width="5" customWidth="1" min="11018" max="11018"/>
    <col hidden="1" min="11019" max="11023"/>
    <col width="5.26953125" customWidth="1" min="11024" max="11024"/>
    <col hidden="1" min="11025" max="11029"/>
    <col width="5.26953125" customWidth="1" min="11030" max="11030"/>
    <col hidden="1" min="11031" max="11035"/>
    <col width="5.81640625" customWidth="1" min="11036" max="11036"/>
    <col hidden="1" min="11037" max="11041"/>
    <col width="5.26953125" customWidth="1" min="11042" max="11042"/>
    <col hidden="1" min="11043" max="11047"/>
    <col width="5" customWidth="1" min="11048" max="11048"/>
    <col hidden="1" min="11049" max="11053"/>
    <col width="5.08984375" customWidth="1" min="11054" max="11054"/>
    <col hidden="1" min="11055" max="11059"/>
    <col width="4.81640625" customWidth="1" min="11060" max="11060"/>
    <col hidden="1" min="11061" max="11065"/>
    <col width="4.81640625" customWidth="1" min="11066" max="11066"/>
    <col hidden="1" min="11067" max="11071"/>
    <col width="5.453125" customWidth="1" min="11072" max="11072"/>
    <col hidden="1" min="11073" max="11077"/>
    <col width="5.36328125" customWidth="1" min="11078" max="11078"/>
    <col hidden="1" min="11079" max="11083"/>
    <col width="5.36328125" customWidth="1" min="11084" max="11084"/>
    <col width="4.36328125" customWidth="1" min="11085" max="11085"/>
    <col width="5.36328125" customWidth="1" min="11086" max="11086"/>
    <col width="4.36328125" customWidth="1" min="11087" max="11087"/>
    <col width="5.90625" customWidth="1" min="11088" max="11088"/>
    <col width="4.90625" customWidth="1" min="11089" max="11089"/>
    <col width="6.36328125" customWidth="1" min="11090" max="11090"/>
    <col width="5.90625" customWidth="1" min="11091" max="11091"/>
    <col width="11.36328125" customWidth="1" min="11092" max="11092"/>
    <col width="3.1796875" customWidth="1" min="11265" max="11265"/>
    <col width="4.08984375" customWidth="1" min="11266" max="11266"/>
    <col width="8.7265625" customWidth="1" min="11267" max="11267"/>
    <col width="11.26953125" bestFit="1" customWidth="1" min="11268" max="11268"/>
    <col hidden="1" min="11269" max="11273"/>
    <col width="5" customWidth="1" min="11274" max="11274"/>
    <col hidden="1" min="11275" max="11279"/>
    <col width="5.26953125" customWidth="1" min="11280" max="11280"/>
    <col hidden="1" min="11281" max="11285"/>
    <col width="5.26953125" customWidth="1" min="11286" max="11286"/>
    <col hidden="1" min="11287" max="11291"/>
    <col width="5.81640625" customWidth="1" min="11292" max="11292"/>
    <col hidden="1" min="11293" max="11297"/>
    <col width="5.26953125" customWidth="1" min="11298" max="11298"/>
    <col hidden="1" min="11299" max="11303"/>
    <col width="5" customWidth="1" min="11304" max="11304"/>
    <col hidden="1" min="11305" max="11309"/>
    <col width="5.08984375" customWidth="1" min="11310" max="11310"/>
    <col hidden="1" min="11311" max="11315"/>
    <col width="4.81640625" customWidth="1" min="11316" max="11316"/>
    <col hidden="1" min="11317" max="11321"/>
    <col width="4.81640625" customWidth="1" min="11322" max="11322"/>
    <col hidden="1" min="11323" max="11327"/>
    <col width="5.453125" customWidth="1" min="11328" max="11328"/>
    <col hidden="1" min="11329" max="11333"/>
    <col width="5.36328125" customWidth="1" min="11334" max="11334"/>
    <col hidden="1" min="11335" max="11339"/>
    <col width="5.36328125" customWidth="1" min="11340" max="11340"/>
    <col width="4.36328125" customWidth="1" min="11341" max="11341"/>
    <col width="5.36328125" customWidth="1" min="11342" max="11342"/>
    <col width="4.36328125" customWidth="1" min="11343" max="11343"/>
    <col width="5.90625" customWidth="1" min="11344" max="11344"/>
    <col width="4.90625" customWidth="1" min="11345" max="11345"/>
    <col width="6.36328125" customWidth="1" min="11346" max="11346"/>
    <col width="5.90625" customWidth="1" min="11347" max="11347"/>
    <col width="11.36328125" customWidth="1" min="11348" max="11348"/>
    <col width="3.1796875" customWidth="1" min="11521" max="11521"/>
    <col width="4.08984375" customWidth="1" min="11522" max="11522"/>
    <col width="8.7265625" customWidth="1" min="11523" max="11523"/>
    <col width="11.26953125" bestFit="1" customWidth="1" min="11524" max="11524"/>
    <col hidden="1" min="11525" max="11529"/>
    <col width="5" customWidth="1" min="11530" max="11530"/>
    <col hidden="1" min="11531" max="11535"/>
    <col width="5.26953125" customWidth="1" min="11536" max="11536"/>
    <col hidden="1" min="11537" max="11541"/>
    <col width="5.26953125" customWidth="1" min="11542" max="11542"/>
    <col hidden="1" min="11543" max="11547"/>
    <col width="5.81640625" customWidth="1" min="11548" max="11548"/>
    <col hidden="1" min="11549" max="11553"/>
    <col width="5.26953125" customWidth="1" min="11554" max="11554"/>
    <col hidden="1" min="11555" max="11559"/>
    <col width="5" customWidth="1" min="11560" max="11560"/>
    <col hidden="1" min="11561" max="11565"/>
    <col width="5.08984375" customWidth="1" min="11566" max="11566"/>
    <col hidden="1" min="11567" max="11571"/>
    <col width="4.81640625" customWidth="1" min="11572" max="11572"/>
    <col hidden="1" min="11573" max="11577"/>
    <col width="4.81640625" customWidth="1" min="11578" max="11578"/>
    <col hidden="1" min="11579" max="11583"/>
    <col width="5.453125" customWidth="1" min="11584" max="11584"/>
    <col hidden="1" min="11585" max="11589"/>
    <col width="5.36328125" customWidth="1" min="11590" max="11590"/>
    <col hidden="1" min="11591" max="11595"/>
    <col width="5.36328125" customWidth="1" min="11596" max="11596"/>
    <col width="4.36328125" customWidth="1" min="11597" max="11597"/>
    <col width="5.36328125" customWidth="1" min="11598" max="11598"/>
    <col width="4.36328125" customWidth="1" min="11599" max="11599"/>
    <col width="5.90625" customWidth="1" min="11600" max="11600"/>
    <col width="4.90625" customWidth="1" min="11601" max="11601"/>
    <col width="6.36328125" customWidth="1" min="11602" max="11602"/>
    <col width="5.90625" customWidth="1" min="11603" max="11603"/>
    <col width="11.36328125" customWidth="1" min="11604" max="11604"/>
    <col width="3.1796875" customWidth="1" min="11777" max="11777"/>
    <col width="4.08984375" customWidth="1" min="11778" max="11778"/>
    <col width="8.7265625" customWidth="1" min="11779" max="11779"/>
    <col width="11.26953125" bestFit="1" customWidth="1" min="11780" max="11780"/>
    <col hidden="1" min="11781" max="11785"/>
    <col width="5" customWidth="1" min="11786" max="11786"/>
    <col hidden="1" min="11787" max="11791"/>
    <col width="5.26953125" customWidth="1" min="11792" max="11792"/>
    <col hidden="1" min="11793" max="11797"/>
    <col width="5.26953125" customWidth="1" min="11798" max="11798"/>
    <col hidden="1" min="11799" max="11803"/>
    <col width="5.81640625" customWidth="1" min="11804" max="11804"/>
    <col hidden="1" min="11805" max="11809"/>
    <col width="5.26953125" customWidth="1" min="11810" max="11810"/>
    <col hidden="1" min="11811" max="11815"/>
    <col width="5" customWidth="1" min="11816" max="11816"/>
    <col hidden="1" min="11817" max="11821"/>
    <col width="5.08984375" customWidth="1" min="11822" max="11822"/>
    <col hidden="1" min="11823" max="11827"/>
    <col width="4.81640625" customWidth="1" min="11828" max="11828"/>
    <col hidden="1" min="11829" max="11833"/>
    <col width="4.81640625" customWidth="1" min="11834" max="11834"/>
    <col hidden="1" min="11835" max="11839"/>
    <col width="5.453125" customWidth="1" min="11840" max="11840"/>
    <col hidden="1" min="11841" max="11845"/>
    <col width="5.36328125" customWidth="1" min="11846" max="11846"/>
    <col hidden="1" min="11847" max="11851"/>
    <col width="5.36328125" customWidth="1" min="11852" max="11852"/>
    <col width="4.36328125" customWidth="1" min="11853" max="11853"/>
    <col width="5.36328125" customWidth="1" min="11854" max="11854"/>
    <col width="4.36328125" customWidth="1" min="11855" max="11855"/>
    <col width="5.90625" customWidth="1" min="11856" max="11856"/>
    <col width="4.90625" customWidth="1" min="11857" max="11857"/>
    <col width="6.36328125" customWidth="1" min="11858" max="11858"/>
    <col width="5.90625" customWidth="1" min="11859" max="11859"/>
    <col width="11.36328125" customWidth="1" min="11860" max="11860"/>
    <col width="3.1796875" customWidth="1" min="12033" max="12033"/>
    <col width="4.08984375" customWidth="1" min="12034" max="12034"/>
    <col width="8.7265625" customWidth="1" min="12035" max="12035"/>
    <col width="11.26953125" bestFit="1" customWidth="1" min="12036" max="12036"/>
    <col hidden="1" min="12037" max="12041"/>
    <col width="5" customWidth="1" min="12042" max="12042"/>
    <col hidden="1" min="12043" max="12047"/>
    <col width="5.26953125" customWidth="1" min="12048" max="12048"/>
    <col hidden="1" min="12049" max="12053"/>
    <col width="5.26953125" customWidth="1" min="12054" max="12054"/>
    <col hidden="1" min="12055" max="12059"/>
    <col width="5.81640625" customWidth="1" min="12060" max="12060"/>
    <col hidden="1" min="12061" max="12065"/>
    <col width="5.26953125" customWidth="1" min="12066" max="12066"/>
    <col hidden="1" min="12067" max="12071"/>
    <col width="5" customWidth="1" min="12072" max="12072"/>
    <col hidden="1" min="12073" max="12077"/>
    <col width="5.08984375" customWidth="1" min="12078" max="12078"/>
    <col hidden="1" min="12079" max="12083"/>
    <col width="4.81640625" customWidth="1" min="12084" max="12084"/>
    <col hidden="1" min="12085" max="12089"/>
    <col width="4.81640625" customWidth="1" min="12090" max="12090"/>
    <col hidden="1" min="12091" max="12095"/>
    <col width="5.453125" customWidth="1" min="12096" max="12096"/>
    <col hidden="1" min="12097" max="12101"/>
    <col width="5.36328125" customWidth="1" min="12102" max="12102"/>
    <col hidden="1" min="12103" max="12107"/>
    <col width="5.36328125" customWidth="1" min="12108" max="12108"/>
    <col width="4.36328125" customWidth="1" min="12109" max="12109"/>
    <col width="5.36328125" customWidth="1" min="12110" max="12110"/>
    <col width="4.36328125" customWidth="1" min="12111" max="12111"/>
    <col width="5.90625" customWidth="1" min="12112" max="12112"/>
    <col width="4.90625" customWidth="1" min="12113" max="12113"/>
    <col width="6.36328125" customWidth="1" min="12114" max="12114"/>
    <col width="5.90625" customWidth="1" min="12115" max="12115"/>
    <col width="11.36328125" customWidth="1" min="12116" max="12116"/>
    <col width="3.1796875" customWidth="1" min="12289" max="12289"/>
    <col width="4.08984375" customWidth="1" min="12290" max="12290"/>
    <col width="8.7265625" customWidth="1" min="12291" max="12291"/>
    <col width="11.26953125" bestFit="1" customWidth="1" min="12292" max="12292"/>
    <col hidden="1" min="12293" max="12297"/>
    <col width="5" customWidth="1" min="12298" max="12298"/>
    <col hidden="1" min="12299" max="12303"/>
    <col width="5.26953125" customWidth="1" min="12304" max="12304"/>
    <col hidden="1" min="12305" max="12309"/>
    <col width="5.26953125" customWidth="1" min="12310" max="12310"/>
    <col hidden="1" min="12311" max="12315"/>
    <col width="5.81640625" customWidth="1" min="12316" max="12316"/>
    <col hidden="1" min="12317" max="12321"/>
    <col width="5.26953125" customWidth="1" min="12322" max="12322"/>
    <col hidden="1" min="12323" max="12327"/>
    <col width="5" customWidth="1" min="12328" max="12328"/>
    <col hidden="1" min="12329" max="12333"/>
    <col width="5.08984375" customWidth="1" min="12334" max="12334"/>
    <col hidden="1" min="12335" max="12339"/>
    <col width="4.81640625" customWidth="1" min="12340" max="12340"/>
    <col hidden="1" min="12341" max="12345"/>
    <col width="4.81640625" customWidth="1" min="12346" max="12346"/>
    <col hidden="1" min="12347" max="12351"/>
    <col width="5.453125" customWidth="1" min="12352" max="12352"/>
    <col hidden="1" min="12353" max="12357"/>
    <col width="5.36328125" customWidth="1" min="12358" max="12358"/>
    <col hidden="1" min="12359" max="12363"/>
    <col width="5.36328125" customWidth="1" min="12364" max="12364"/>
    <col width="4.36328125" customWidth="1" min="12365" max="12365"/>
    <col width="5.36328125" customWidth="1" min="12366" max="12366"/>
    <col width="4.36328125" customWidth="1" min="12367" max="12367"/>
    <col width="5.90625" customWidth="1" min="12368" max="12368"/>
    <col width="4.90625" customWidth="1" min="12369" max="12369"/>
    <col width="6.36328125" customWidth="1" min="12370" max="12370"/>
    <col width="5.90625" customWidth="1" min="12371" max="12371"/>
    <col width="11.36328125" customWidth="1" min="12372" max="12372"/>
    <col width="3.1796875" customWidth="1" min="12545" max="12545"/>
    <col width="4.08984375" customWidth="1" min="12546" max="12546"/>
    <col width="8.7265625" customWidth="1" min="12547" max="12547"/>
    <col width="11.26953125" bestFit="1" customWidth="1" min="12548" max="12548"/>
    <col hidden="1" min="12549" max="12553"/>
    <col width="5" customWidth="1" min="12554" max="12554"/>
    <col hidden="1" min="12555" max="12559"/>
    <col width="5.26953125" customWidth="1" min="12560" max="12560"/>
    <col hidden="1" min="12561" max="12565"/>
    <col width="5.26953125" customWidth="1" min="12566" max="12566"/>
    <col hidden="1" min="12567" max="12571"/>
    <col width="5.81640625" customWidth="1" min="12572" max="12572"/>
    <col hidden="1" min="12573" max="12577"/>
    <col width="5.26953125" customWidth="1" min="12578" max="12578"/>
    <col hidden="1" min="12579" max="12583"/>
    <col width="5" customWidth="1" min="12584" max="12584"/>
    <col hidden="1" min="12585" max="12589"/>
    <col width="5.08984375" customWidth="1" min="12590" max="12590"/>
    <col hidden="1" min="12591" max="12595"/>
    <col width="4.81640625" customWidth="1" min="12596" max="12596"/>
    <col hidden="1" min="12597" max="12601"/>
    <col width="4.81640625" customWidth="1" min="12602" max="12602"/>
    <col hidden="1" min="12603" max="12607"/>
    <col width="5.453125" customWidth="1" min="12608" max="12608"/>
    <col hidden="1" min="12609" max="12613"/>
    <col width="5.36328125" customWidth="1" min="12614" max="12614"/>
    <col hidden="1" min="12615" max="12619"/>
    <col width="5.36328125" customWidth="1" min="12620" max="12620"/>
    <col width="4.36328125" customWidth="1" min="12621" max="12621"/>
    <col width="5.36328125" customWidth="1" min="12622" max="12622"/>
    <col width="4.36328125" customWidth="1" min="12623" max="12623"/>
    <col width="5.90625" customWidth="1" min="12624" max="12624"/>
    <col width="4.90625" customWidth="1" min="12625" max="12625"/>
    <col width="6.36328125" customWidth="1" min="12626" max="12626"/>
    <col width="5.90625" customWidth="1" min="12627" max="12627"/>
    <col width="11.36328125" customWidth="1" min="12628" max="12628"/>
    <col width="3.1796875" customWidth="1" min="12801" max="12801"/>
    <col width="4.08984375" customWidth="1" min="12802" max="12802"/>
    <col width="8.7265625" customWidth="1" min="12803" max="12803"/>
    <col width="11.26953125" bestFit="1" customWidth="1" min="12804" max="12804"/>
    <col hidden="1" min="12805" max="12809"/>
    <col width="5" customWidth="1" min="12810" max="12810"/>
    <col hidden="1" min="12811" max="12815"/>
    <col width="5.26953125" customWidth="1" min="12816" max="12816"/>
    <col hidden="1" min="12817" max="12821"/>
    <col width="5.26953125" customWidth="1" min="12822" max="12822"/>
    <col hidden="1" min="12823" max="12827"/>
    <col width="5.81640625" customWidth="1" min="12828" max="12828"/>
    <col hidden="1" min="12829" max="12833"/>
    <col width="5.26953125" customWidth="1" min="12834" max="12834"/>
    <col hidden="1" min="12835" max="12839"/>
    <col width="5" customWidth="1" min="12840" max="12840"/>
    <col hidden="1" min="12841" max="12845"/>
    <col width="5.08984375" customWidth="1" min="12846" max="12846"/>
    <col hidden="1" min="12847" max="12851"/>
    <col width="4.81640625" customWidth="1" min="12852" max="12852"/>
    <col hidden="1" min="12853" max="12857"/>
    <col width="4.81640625" customWidth="1" min="12858" max="12858"/>
    <col hidden="1" min="12859" max="12863"/>
    <col width="5.453125" customWidth="1" min="12864" max="12864"/>
    <col hidden="1" min="12865" max="12869"/>
    <col width="5.36328125" customWidth="1" min="12870" max="12870"/>
    <col hidden="1" min="12871" max="12875"/>
    <col width="5.36328125" customWidth="1" min="12876" max="12876"/>
    <col width="4.36328125" customWidth="1" min="12877" max="12877"/>
    <col width="5.36328125" customWidth="1" min="12878" max="12878"/>
    <col width="4.36328125" customWidth="1" min="12879" max="12879"/>
    <col width="5.90625" customWidth="1" min="12880" max="12880"/>
    <col width="4.90625" customWidth="1" min="12881" max="12881"/>
    <col width="6.36328125" customWidth="1" min="12882" max="12882"/>
    <col width="5.90625" customWidth="1" min="12883" max="12883"/>
    <col width="11.36328125" customWidth="1" min="12884" max="12884"/>
    <col width="3.1796875" customWidth="1" min="13057" max="13057"/>
    <col width="4.08984375" customWidth="1" min="13058" max="13058"/>
    <col width="8.7265625" customWidth="1" min="13059" max="13059"/>
    <col width="11.26953125" bestFit="1" customWidth="1" min="13060" max="13060"/>
    <col hidden="1" min="13061" max="13065"/>
    <col width="5" customWidth="1" min="13066" max="13066"/>
    <col hidden="1" min="13067" max="13071"/>
    <col width="5.26953125" customWidth="1" min="13072" max="13072"/>
    <col hidden="1" min="13073" max="13077"/>
    <col width="5.26953125" customWidth="1" min="13078" max="13078"/>
    <col hidden="1" min="13079" max="13083"/>
    <col width="5.81640625" customWidth="1" min="13084" max="13084"/>
    <col hidden="1" min="13085" max="13089"/>
    <col width="5.26953125" customWidth="1" min="13090" max="13090"/>
    <col hidden="1" min="13091" max="13095"/>
    <col width="5" customWidth="1" min="13096" max="13096"/>
    <col hidden="1" min="13097" max="13101"/>
    <col width="5.08984375" customWidth="1" min="13102" max="13102"/>
    <col hidden="1" min="13103" max="13107"/>
    <col width="4.81640625" customWidth="1" min="13108" max="13108"/>
    <col hidden="1" min="13109" max="13113"/>
    <col width="4.81640625" customWidth="1" min="13114" max="13114"/>
    <col hidden="1" min="13115" max="13119"/>
    <col width="5.453125" customWidth="1" min="13120" max="13120"/>
    <col hidden="1" min="13121" max="13125"/>
    <col width="5.36328125" customWidth="1" min="13126" max="13126"/>
    <col hidden="1" min="13127" max="13131"/>
    <col width="5.36328125" customWidth="1" min="13132" max="13132"/>
    <col width="4.36328125" customWidth="1" min="13133" max="13133"/>
    <col width="5.36328125" customWidth="1" min="13134" max="13134"/>
    <col width="4.36328125" customWidth="1" min="13135" max="13135"/>
    <col width="5.90625" customWidth="1" min="13136" max="13136"/>
    <col width="4.90625" customWidth="1" min="13137" max="13137"/>
    <col width="6.36328125" customWidth="1" min="13138" max="13138"/>
    <col width="5.90625" customWidth="1" min="13139" max="13139"/>
    <col width="11.36328125" customWidth="1" min="13140" max="13140"/>
    <col width="3.1796875" customWidth="1" min="13313" max="13313"/>
    <col width="4.08984375" customWidth="1" min="13314" max="13314"/>
    <col width="8.7265625" customWidth="1" min="13315" max="13315"/>
    <col width="11.26953125" bestFit="1" customWidth="1" min="13316" max="13316"/>
    <col hidden="1" min="13317" max="13321"/>
    <col width="5" customWidth="1" min="13322" max="13322"/>
    <col hidden="1" min="13323" max="13327"/>
    <col width="5.26953125" customWidth="1" min="13328" max="13328"/>
    <col hidden="1" min="13329" max="13333"/>
    <col width="5.26953125" customWidth="1" min="13334" max="13334"/>
    <col hidden="1" min="13335" max="13339"/>
    <col width="5.81640625" customWidth="1" min="13340" max="13340"/>
    <col hidden="1" min="13341" max="13345"/>
    <col width="5.26953125" customWidth="1" min="13346" max="13346"/>
    <col hidden="1" min="13347" max="13351"/>
    <col width="5" customWidth="1" min="13352" max="13352"/>
    <col hidden="1" min="13353" max="13357"/>
    <col width="5.08984375" customWidth="1" min="13358" max="13358"/>
    <col hidden="1" min="13359" max="13363"/>
    <col width="4.81640625" customWidth="1" min="13364" max="13364"/>
    <col hidden="1" min="13365" max="13369"/>
    <col width="4.81640625" customWidth="1" min="13370" max="13370"/>
    <col hidden="1" min="13371" max="13375"/>
    <col width="5.453125" customWidth="1" min="13376" max="13376"/>
    <col hidden="1" min="13377" max="13381"/>
    <col width="5.36328125" customWidth="1" min="13382" max="13382"/>
    <col hidden="1" min="13383" max="13387"/>
    <col width="5.36328125" customWidth="1" min="13388" max="13388"/>
    <col width="4.36328125" customWidth="1" min="13389" max="13389"/>
    <col width="5.36328125" customWidth="1" min="13390" max="13390"/>
    <col width="4.36328125" customWidth="1" min="13391" max="13391"/>
    <col width="5.90625" customWidth="1" min="13392" max="13392"/>
    <col width="4.90625" customWidth="1" min="13393" max="13393"/>
    <col width="6.36328125" customWidth="1" min="13394" max="13394"/>
    <col width="5.90625" customWidth="1" min="13395" max="13395"/>
    <col width="11.36328125" customWidth="1" min="13396" max="13396"/>
    <col width="3.1796875" customWidth="1" min="13569" max="13569"/>
    <col width="4.08984375" customWidth="1" min="13570" max="13570"/>
    <col width="8.7265625" customWidth="1" min="13571" max="13571"/>
    <col width="11.26953125" bestFit="1" customWidth="1" min="13572" max="13572"/>
    <col hidden="1" min="13573" max="13577"/>
    <col width="5" customWidth="1" min="13578" max="13578"/>
    <col hidden="1" min="13579" max="13583"/>
    <col width="5.26953125" customWidth="1" min="13584" max="13584"/>
    <col hidden="1" min="13585" max="13589"/>
    <col width="5.26953125" customWidth="1" min="13590" max="13590"/>
    <col hidden="1" min="13591" max="13595"/>
    <col width="5.81640625" customWidth="1" min="13596" max="13596"/>
    <col hidden="1" min="13597" max="13601"/>
    <col width="5.26953125" customWidth="1" min="13602" max="13602"/>
    <col hidden="1" min="13603" max="13607"/>
    <col width="5" customWidth="1" min="13608" max="13608"/>
    <col hidden="1" min="13609" max="13613"/>
    <col width="5.08984375" customWidth="1" min="13614" max="13614"/>
    <col hidden="1" min="13615" max="13619"/>
    <col width="4.81640625" customWidth="1" min="13620" max="13620"/>
    <col hidden="1" min="13621" max="13625"/>
    <col width="4.81640625" customWidth="1" min="13626" max="13626"/>
    <col hidden="1" min="13627" max="13631"/>
    <col width="5.453125" customWidth="1" min="13632" max="13632"/>
    <col hidden="1" min="13633" max="13637"/>
    <col width="5.36328125" customWidth="1" min="13638" max="13638"/>
    <col hidden="1" min="13639" max="13643"/>
    <col width="5.36328125" customWidth="1" min="13644" max="13644"/>
    <col width="4.36328125" customWidth="1" min="13645" max="13645"/>
    <col width="5.36328125" customWidth="1" min="13646" max="13646"/>
    <col width="4.36328125" customWidth="1" min="13647" max="13647"/>
    <col width="5.90625" customWidth="1" min="13648" max="13648"/>
    <col width="4.90625" customWidth="1" min="13649" max="13649"/>
    <col width="6.36328125" customWidth="1" min="13650" max="13650"/>
    <col width="5.90625" customWidth="1" min="13651" max="13651"/>
    <col width="11.36328125" customWidth="1" min="13652" max="13652"/>
    <col width="3.1796875" customWidth="1" min="13825" max="13825"/>
    <col width="4.08984375" customWidth="1" min="13826" max="13826"/>
    <col width="8.7265625" customWidth="1" min="13827" max="13827"/>
    <col width="11.26953125" bestFit="1" customWidth="1" min="13828" max="13828"/>
    <col hidden="1" min="13829" max="13833"/>
    <col width="5" customWidth="1" min="13834" max="13834"/>
    <col hidden="1" min="13835" max="13839"/>
    <col width="5.26953125" customWidth="1" min="13840" max="13840"/>
    <col hidden="1" min="13841" max="13845"/>
    <col width="5.26953125" customWidth="1" min="13846" max="13846"/>
    <col hidden="1" min="13847" max="13851"/>
    <col width="5.81640625" customWidth="1" min="13852" max="13852"/>
    <col hidden="1" min="13853" max="13857"/>
    <col width="5.26953125" customWidth="1" min="13858" max="13858"/>
    <col hidden="1" min="13859" max="13863"/>
    <col width="5" customWidth="1" min="13864" max="13864"/>
    <col hidden="1" min="13865" max="13869"/>
    <col width="5.08984375" customWidth="1" min="13870" max="13870"/>
    <col hidden="1" min="13871" max="13875"/>
    <col width="4.81640625" customWidth="1" min="13876" max="13876"/>
    <col hidden="1" min="13877" max="13881"/>
    <col width="4.81640625" customWidth="1" min="13882" max="13882"/>
    <col hidden="1" min="13883" max="13887"/>
    <col width="5.453125" customWidth="1" min="13888" max="13888"/>
    <col hidden="1" min="13889" max="13893"/>
    <col width="5.36328125" customWidth="1" min="13894" max="13894"/>
    <col hidden="1" min="13895" max="13899"/>
    <col width="5.36328125" customWidth="1" min="13900" max="13900"/>
    <col width="4.36328125" customWidth="1" min="13901" max="13901"/>
    <col width="5.36328125" customWidth="1" min="13902" max="13902"/>
    <col width="4.36328125" customWidth="1" min="13903" max="13903"/>
    <col width="5.90625" customWidth="1" min="13904" max="13904"/>
    <col width="4.90625" customWidth="1" min="13905" max="13905"/>
    <col width="6.36328125" customWidth="1" min="13906" max="13906"/>
    <col width="5.90625" customWidth="1" min="13907" max="13907"/>
    <col width="11.36328125" customWidth="1" min="13908" max="13908"/>
    <col width="3.1796875" customWidth="1" min="14081" max="14081"/>
    <col width="4.08984375" customWidth="1" min="14082" max="14082"/>
    <col width="8.7265625" customWidth="1" min="14083" max="14083"/>
    <col width="11.26953125" bestFit="1" customWidth="1" min="14084" max="14084"/>
    <col hidden="1" min="14085" max="14089"/>
    <col width="5" customWidth="1" min="14090" max="14090"/>
    <col hidden="1" min="14091" max="14095"/>
    <col width="5.26953125" customWidth="1" min="14096" max="14096"/>
    <col hidden="1" min="14097" max="14101"/>
    <col width="5.26953125" customWidth="1" min="14102" max="14102"/>
    <col hidden="1" min="14103" max="14107"/>
    <col width="5.81640625" customWidth="1" min="14108" max="14108"/>
    <col hidden="1" min="14109" max="14113"/>
    <col width="5.26953125" customWidth="1" min="14114" max="14114"/>
    <col hidden="1" min="14115" max="14119"/>
    <col width="5" customWidth="1" min="14120" max="14120"/>
    <col hidden="1" min="14121" max="14125"/>
    <col width="5.08984375" customWidth="1" min="14126" max="14126"/>
    <col hidden="1" min="14127" max="14131"/>
    <col width="4.81640625" customWidth="1" min="14132" max="14132"/>
    <col hidden="1" min="14133" max="14137"/>
    <col width="4.81640625" customWidth="1" min="14138" max="14138"/>
    <col hidden="1" min="14139" max="14143"/>
    <col width="5.453125" customWidth="1" min="14144" max="14144"/>
    <col hidden="1" min="14145" max="14149"/>
    <col width="5.36328125" customWidth="1" min="14150" max="14150"/>
    <col hidden="1" min="14151" max="14155"/>
    <col width="5.36328125" customWidth="1" min="14156" max="14156"/>
    <col width="4.36328125" customWidth="1" min="14157" max="14157"/>
    <col width="5.36328125" customWidth="1" min="14158" max="14158"/>
    <col width="4.36328125" customWidth="1" min="14159" max="14159"/>
    <col width="5.90625" customWidth="1" min="14160" max="14160"/>
    <col width="4.90625" customWidth="1" min="14161" max="14161"/>
    <col width="6.36328125" customWidth="1" min="14162" max="14162"/>
    <col width="5.90625" customWidth="1" min="14163" max="14163"/>
    <col width="11.36328125" customWidth="1" min="14164" max="14164"/>
    <col width="3.1796875" customWidth="1" min="14337" max="14337"/>
    <col width="4.08984375" customWidth="1" min="14338" max="14338"/>
    <col width="8.7265625" customWidth="1" min="14339" max="14339"/>
    <col width="11.26953125" bestFit="1" customWidth="1" min="14340" max="14340"/>
    <col hidden="1" min="14341" max="14345"/>
    <col width="5" customWidth="1" min="14346" max="14346"/>
    <col hidden="1" min="14347" max="14351"/>
    <col width="5.26953125" customWidth="1" min="14352" max="14352"/>
    <col hidden="1" min="14353" max="14357"/>
    <col width="5.26953125" customWidth="1" min="14358" max="14358"/>
    <col hidden="1" min="14359" max="14363"/>
    <col width="5.81640625" customWidth="1" min="14364" max="14364"/>
    <col hidden="1" min="14365" max="14369"/>
    <col width="5.26953125" customWidth="1" min="14370" max="14370"/>
    <col hidden="1" min="14371" max="14375"/>
    <col width="5" customWidth="1" min="14376" max="14376"/>
    <col hidden="1" min="14377" max="14381"/>
    <col width="5.08984375" customWidth="1" min="14382" max="14382"/>
    <col hidden="1" min="14383" max="14387"/>
    <col width="4.81640625" customWidth="1" min="14388" max="14388"/>
    <col hidden="1" min="14389" max="14393"/>
    <col width="4.81640625" customWidth="1" min="14394" max="14394"/>
    <col hidden="1" min="14395" max="14399"/>
    <col width="5.453125" customWidth="1" min="14400" max="14400"/>
    <col hidden="1" min="14401" max="14405"/>
    <col width="5.36328125" customWidth="1" min="14406" max="14406"/>
    <col hidden="1" min="14407" max="14411"/>
    <col width="5.36328125" customWidth="1" min="14412" max="14412"/>
    <col width="4.36328125" customWidth="1" min="14413" max="14413"/>
    <col width="5.36328125" customWidth="1" min="14414" max="14414"/>
    <col width="4.36328125" customWidth="1" min="14415" max="14415"/>
    <col width="5.90625" customWidth="1" min="14416" max="14416"/>
    <col width="4.90625" customWidth="1" min="14417" max="14417"/>
    <col width="6.36328125" customWidth="1" min="14418" max="14418"/>
    <col width="5.90625" customWidth="1" min="14419" max="14419"/>
    <col width="11.36328125" customWidth="1" min="14420" max="14420"/>
    <col width="3.1796875" customWidth="1" min="14593" max="14593"/>
    <col width="4.08984375" customWidth="1" min="14594" max="14594"/>
    <col width="8.7265625" customWidth="1" min="14595" max="14595"/>
    <col width="11.26953125" bestFit="1" customWidth="1" min="14596" max="14596"/>
    <col hidden="1" min="14597" max="14601"/>
    <col width="5" customWidth="1" min="14602" max="14602"/>
    <col hidden="1" min="14603" max="14607"/>
    <col width="5.26953125" customWidth="1" min="14608" max="14608"/>
    <col hidden="1" min="14609" max="14613"/>
    <col width="5.26953125" customWidth="1" min="14614" max="14614"/>
    <col hidden="1" min="14615" max="14619"/>
    <col width="5.81640625" customWidth="1" min="14620" max="14620"/>
    <col hidden="1" min="14621" max="14625"/>
    <col width="5.26953125" customWidth="1" min="14626" max="14626"/>
    <col hidden="1" min="14627" max="14631"/>
    <col width="5" customWidth="1" min="14632" max="14632"/>
    <col hidden="1" min="14633" max="14637"/>
    <col width="5.08984375" customWidth="1" min="14638" max="14638"/>
    <col hidden="1" min="14639" max="14643"/>
    <col width="4.81640625" customWidth="1" min="14644" max="14644"/>
    <col hidden="1" min="14645" max="14649"/>
    <col width="4.81640625" customWidth="1" min="14650" max="14650"/>
    <col hidden="1" min="14651" max="14655"/>
    <col width="5.453125" customWidth="1" min="14656" max="14656"/>
    <col hidden="1" min="14657" max="14661"/>
    <col width="5.36328125" customWidth="1" min="14662" max="14662"/>
    <col hidden="1" min="14663" max="14667"/>
    <col width="5.36328125" customWidth="1" min="14668" max="14668"/>
    <col width="4.36328125" customWidth="1" min="14669" max="14669"/>
    <col width="5.36328125" customWidth="1" min="14670" max="14670"/>
    <col width="4.36328125" customWidth="1" min="14671" max="14671"/>
    <col width="5.90625" customWidth="1" min="14672" max="14672"/>
    <col width="4.90625" customWidth="1" min="14673" max="14673"/>
    <col width="6.36328125" customWidth="1" min="14674" max="14674"/>
    <col width="5.90625" customWidth="1" min="14675" max="14675"/>
    <col width="11.36328125" customWidth="1" min="14676" max="14676"/>
    <col width="3.1796875" customWidth="1" min="14849" max="14849"/>
    <col width="4.08984375" customWidth="1" min="14850" max="14850"/>
    <col width="8.7265625" customWidth="1" min="14851" max="14851"/>
    <col width="11.26953125" bestFit="1" customWidth="1" min="14852" max="14852"/>
    <col hidden="1" min="14853" max="14857"/>
    <col width="5" customWidth="1" min="14858" max="14858"/>
    <col hidden="1" min="14859" max="14863"/>
    <col width="5.26953125" customWidth="1" min="14864" max="14864"/>
    <col hidden="1" min="14865" max="14869"/>
    <col width="5.26953125" customWidth="1" min="14870" max="14870"/>
    <col hidden="1" min="14871" max="14875"/>
    <col width="5.81640625" customWidth="1" min="14876" max="14876"/>
    <col hidden="1" min="14877" max="14881"/>
    <col width="5.26953125" customWidth="1" min="14882" max="14882"/>
    <col hidden="1" min="14883" max="14887"/>
    <col width="5" customWidth="1" min="14888" max="14888"/>
    <col hidden="1" min="14889" max="14893"/>
    <col width="5.08984375" customWidth="1" min="14894" max="14894"/>
    <col hidden="1" min="14895" max="14899"/>
    <col width="4.81640625" customWidth="1" min="14900" max="14900"/>
    <col hidden="1" min="14901" max="14905"/>
    <col width="4.81640625" customWidth="1" min="14906" max="14906"/>
    <col hidden="1" min="14907" max="14911"/>
    <col width="5.453125" customWidth="1" min="14912" max="14912"/>
    <col hidden="1" min="14913" max="14917"/>
    <col width="5.36328125" customWidth="1" min="14918" max="14918"/>
    <col hidden="1" min="14919" max="14923"/>
    <col width="5.36328125" customWidth="1" min="14924" max="14924"/>
    <col width="4.36328125" customWidth="1" min="14925" max="14925"/>
    <col width="5.36328125" customWidth="1" min="14926" max="14926"/>
    <col width="4.36328125" customWidth="1" min="14927" max="14927"/>
    <col width="5.90625" customWidth="1" min="14928" max="14928"/>
    <col width="4.90625" customWidth="1" min="14929" max="14929"/>
    <col width="6.36328125" customWidth="1" min="14930" max="14930"/>
    <col width="5.90625" customWidth="1" min="14931" max="14931"/>
    <col width="11.36328125" customWidth="1" min="14932" max="14932"/>
    <col width="3.1796875" customWidth="1" min="15105" max="15105"/>
    <col width="4.08984375" customWidth="1" min="15106" max="15106"/>
    <col width="8.7265625" customWidth="1" min="15107" max="15107"/>
    <col width="11.26953125" bestFit="1" customWidth="1" min="15108" max="15108"/>
    <col hidden="1" min="15109" max="15113"/>
    <col width="5" customWidth="1" min="15114" max="15114"/>
    <col hidden="1" min="15115" max="15119"/>
    <col width="5.26953125" customWidth="1" min="15120" max="15120"/>
    <col hidden="1" min="15121" max="15125"/>
    <col width="5.26953125" customWidth="1" min="15126" max="15126"/>
    <col hidden="1" min="15127" max="15131"/>
    <col width="5.81640625" customWidth="1" min="15132" max="15132"/>
    <col hidden="1" min="15133" max="15137"/>
    <col width="5.26953125" customWidth="1" min="15138" max="15138"/>
    <col hidden="1" min="15139" max="15143"/>
    <col width="5" customWidth="1" min="15144" max="15144"/>
    <col hidden="1" min="15145" max="15149"/>
    <col width="5.08984375" customWidth="1" min="15150" max="15150"/>
    <col hidden="1" min="15151" max="15155"/>
    <col width="4.81640625" customWidth="1" min="15156" max="15156"/>
    <col hidden="1" min="15157" max="15161"/>
    <col width="4.81640625" customWidth="1" min="15162" max="15162"/>
    <col hidden="1" min="15163" max="15167"/>
    <col width="5.453125" customWidth="1" min="15168" max="15168"/>
    <col hidden="1" min="15169" max="15173"/>
    <col width="5.36328125" customWidth="1" min="15174" max="15174"/>
    <col hidden="1" min="15175" max="15179"/>
    <col width="5.36328125" customWidth="1" min="15180" max="15180"/>
    <col width="4.36328125" customWidth="1" min="15181" max="15181"/>
    <col width="5.36328125" customWidth="1" min="15182" max="15182"/>
    <col width="4.36328125" customWidth="1" min="15183" max="15183"/>
    <col width="5.90625" customWidth="1" min="15184" max="15184"/>
    <col width="4.90625" customWidth="1" min="15185" max="15185"/>
    <col width="6.36328125" customWidth="1" min="15186" max="15186"/>
    <col width="5.90625" customWidth="1" min="15187" max="15187"/>
    <col width="11.36328125" customWidth="1" min="15188" max="15188"/>
    <col width="3.1796875" customWidth="1" min="15361" max="15361"/>
    <col width="4.08984375" customWidth="1" min="15362" max="15362"/>
    <col width="8.7265625" customWidth="1" min="15363" max="15363"/>
    <col width="11.26953125" bestFit="1" customWidth="1" min="15364" max="15364"/>
    <col hidden="1" min="15365" max="15369"/>
    <col width="5" customWidth="1" min="15370" max="15370"/>
    <col hidden="1" min="15371" max="15375"/>
    <col width="5.26953125" customWidth="1" min="15376" max="15376"/>
    <col hidden="1" min="15377" max="15381"/>
    <col width="5.26953125" customWidth="1" min="15382" max="15382"/>
    <col hidden="1" min="15383" max="15387"/>
    <col width="5.81640625" customWidth="1" min="15388" max="15388"/>
    <col hidden="1" min="15389" max="15393"/>
    <col width="5.26953125" customWidth="1" min="15394" max="15394"/>
    <col hidden="1" min="15395" max="15399"/>
    <col width="5" customWidth="1" min="15400" max="15400"/>
    <col hidden="1" min="15401" max="15405"/>
    <col width="5.08984375" customWidth="1" min="15406" max="15406"/>
    <col hidden="1" min="15407" max="15411"/>
    <col width="4.81640625" customWidth="1" min="15412" max="15412"/>
    <col hidden="1" min="15413" max="15417"/>
    <col width="4.81640625" customWidth="1" min="15418" max="15418"/>
    <col hidden="1" min="15419" max="15423"/>
    <col width="5.453125" customWidth="1" min="15424" max="15424"/>
    <col hidden="1" min="15425" max="15429"/>
    <col width="5.36328125" customWidth="1" min="15430" max="15430"/>
    <col hidden="1" min="15431" max="15435"/>
    <col width="5.36328125" customWidth="1" min="15436" max="15436"/>
    <col width="4.36328125" customWidth="1" min="15437" max="15437"/>
    <col width="5.36328125" customWidth="1" min="15438" max="15438"/>
    <col width="4.36328125" customWidth="1" min="15439" max="15439"/>
    <col width="5.90625" customWidth="1" min="15440" max="15440"/>
    <col width="4.90625" customWidth="1" min="15441" max="15441"/>
    <col width="6.36328125" customWidth="1" min="15442" max="15442"/>
    <col width="5.90625" customWidth="1" min="15443" max="15443"/>
    <col width="11.36328125" customWidth="1" min="15444" max="15444"/>
    <col width="3.1796875" customWidth="1" min="15617" max="15617"/>
    <col width="4.08984375" customWidth="1" min="15618" max="15618"/>
    <col width="8.7265625" customWidth="1" min="15619" max="15619"/>
    <col width="11.26953125" bestFit="1" customWidth="1" min="15620" max="15620"/>
    <col hidden="1" min="15621" max="15625"/>
    <col width="5" customWidth="1" min="15626" max="15626"/>
    <col hidden="1" min="15627" max="15631"/>
    <col width="5.26953125" customWidth="1" min="15632" max="15632"/>
    <col hidden="1" min="15633" max="15637"/>
    <col width="5.26953125" customWidth="1" min="15638" max="15638"/>
    <col hidden="1" min="15639" max="15643"/>
    <col width="5.81640625" customWidth="1" min="15644" max="15644"/>
    <col hidden="1" min="15645" max="15649"/>
    <col width="5.26953125" customWidth="1" min="15650" max="15650"/>
    <col hidden="1" min="15651" max="15655"/>
    <col width="5" customWidth="1" min="15656" max="15656"/>
    <col hidden="1" min="15657" max="15661"/>
    <col width="5.08984375" customWidth="1" min="15662" max="15662"/>
    <col hidden="1" min="15663" max="15667"/>
    <col width="4.81640625" customWidth="1" min="15668" max="15668"/>
    <col hidden="1" min="15669" max="15673"/>
    <col width="4.81640625" customWidth="1" min="15674" max="15674"/>
    <col hidden="1" min="15675" max="15679"/>
    <col width="5.453125" customWidth="1" min="15680" max="15680"/>
    <col hidden="1" min="15681" max="15685"/>
    <col width="5.36328125" customWidth="1" min="15686" max="15686"/>
    <col hidden="1" min="15687" max="15691"/>
    <col width="5.36328125" customWidth="1" min="15692" max="15692"/>
    <col width="4.36328125" customWidth="1" min="15693" max="15693"/>
    <col width="5.36328125" customWidth="1" min="15694" max="15694"/>
    <col width="4.36328125" customWidth="1" min="15695" max="15695"/>
    <col width="5.90625" customWidth="1" min="15696" max="15696"/>
    <col width="4.90625" customWidth="1" min="15697" max="15697"/>
    <col width="6.36328125" customWidth="1" min="15698" max="15698"/>
    <col width="5.90625" customWidth="1" min="15699" max="15699"/>
    <col width="11.36328125" customWidth="1" min="15700" max="15700"/>
    <col width="3.1796875" customWidth="1" min="15873" max="15873"/>
    <col width="4.08984375" customWidth="1" min="15874" max="15874"/>
    <col width="8.7265625" customWidth="1" min="15875" max="15875"/>
    <col width="11.26953125" bestFit="1" customWidth="1" min="15876" max="15876"/>
    <col hidden="1" min="15877" max="15881"/>
    <col width="5" customWidth="1" min="15882" max="15882"/>
    <col hidden="1" min="15883" max="15887"/>
    <col width="5.26953125" customWidth="1" min="15888" max="15888"/>
    <col hidden="1" min="15889" max="15893"/>
    <col width="5.26953125" customWidth="1" min="15894" max="15894"/>
    <col hidden="1" min="15895" max="15899"/>
    <col width="5.81640625" customWidth="1" min="15900" max="15900"/>
    <col hidden="1" min="15901" max="15905"/>
    <col width="5.26953125" customWidth="1" min="15906" max="15906"/>
    <col hidden="1" min="15907" max="15911"/>
    <col width="5" customWidth="1" min="15912" max="15912"/>
    <col hidden="1" min="15913" max="15917"/>
    <col width="5.08984375" customWidth="1" min="15918" max="15918"/>
    <col hidden="1" min="15919" max="15923"/>
    <col width="4.81640625" customWidth="1" min="15924" max="15924"/>
    <col hidden="1" min="15925" max="15929"/>
    <col width="4.81640625" customWidth="1" min="15930" max="15930"/>
    <col hidden="1" min="15931" max="15935"/>
    <col width="5.453125" customWidth="1" min="15936" max="15936"/>
    <col hidden="1" min="15937" max="15941"/>
    <col width="5.36328125" customWidth="1" min="15942" max="15942"/>
    <col hidden="1" min="15943" max="15947"/>
    <col width="5.36328125" customWidth="1" min="15948" max="15948"/>
    <col width="4.36328125" customWidth="1" min="15949" max="15949"/>
    <col width="5.36328125" customWidth="1" min="15950" max="15950"/>
    <col width="4.36328125" customWidth="1" min="15951" max="15951"/>
    <col width="5.90625" customWidth="1" min="15952" max="15952"/>
    <col width="4.90625" customWidth="1" min="15953" max="15953"/>
    <col width="6.36328125" customWidth="1" min="15954" max="15954"/>
    <col width="5.90625" customWidth="1" min="15955" max="15955"/>
    <col width="11.36328125" customWidth="1" min="15956" max="15956"/>
    <col width="3.1796875" customWidth="1" min="16129" max="16129"/>
    <col width="4.08984375" customWidth="1" min="16130" max="16130"/>
    <col width="8.7265625" customWidth="1" min="16131" max="16131"/>
    <col width="11.26953125" bestFit="1" customWidth="1" min="16132" max="16132"/>
    <col hidden="1" min="16133" max="16137"/>
    <col width="5" customWidth="1" min="16138" max="16138"/>
    <col hidden="1" min="16139" max="16143"/>
    <col width="5.26953125" customWidth="1" min="16144" max="16144"/>
    <col hidden="1" min="16145" max="16149"/>
    <col width="5.26953125" customWidth="1" min="16150" max="16150"/>
    <col hidden="1" min="16151" max="16155"/>
    <col width="5.81640625" customWidth="1" min="16156" max="16156"/>
    <col hidden="1" min="16157" max="16161"/>
    <col width="5.26953125" customWidth="1" min="16162" max="16162"/>
    <col hidden="1" min="16163" max="16167"/>
    <col width="5" customWidth="1" min="16168" max="16168"/>
    <col hidden="1" min="16169" max="16173"/>
    <col width="5.08984375" customWidth="1" min="16174" max="16174"/>
    <col hidden="1" min="16175" max="16179"/>
    <col width="4.81640625" customWidth="1" min="16180" max="16180"/>
    <col hidden="1" min="16181" max="16185"/>
    <col width="4.81640625" customWidth="1" min="16186" max="16186"/>
    <col hidden="1" min="16187" max="16191"/>
    <col width="5.453125" customWidth="1" min="16192" max="16192"/>
    <col hidden="1" min="16193" max="16197"/>
    <col width="5.36328125" customWidth="1" min="16198" max="16198"/>
    <col hidden="1" min="16199" max="16203"/>
    <col width="5.36328125" customWidth="1" min="16204" max="16204"/>
    <col width="4.36328125" customWidth="1" min="16205" max="16205"/>
    <col width="5.36328125" customWidth="1" min="16206" max="16206"/>
    <col width="4.36328125" customWidth="1" min="16207" max="16207"/>
    <col width="5.90625" customWidth="1" min="16208" max="16208"/>
    <col width="4.90625" customWidth="1" min="16209" max="16209"/>
    <col width="6.36328125" customWidth="1" min="16210" max="16210"/>
    <col width="5.90625" customWidth="1" min="16211" max="16211"/>
    <col width="11.36328125" customWidth="1" min="16212" max="16212"/>
  </cols>
  <sheetData>
    <row r="1" ht="23" customHeight="1">
      <c r="A1" s="154" t="inlineStr">
        <is>
          <t>บริษัท ช.ไพศาล จำกัด</t>
        </is>
      </c>
      <c r="D1" s="261" t="n"/>
      <c r="E1" s="262" t="n"/>
      <c r="F1" s="262" t="n"/>
      <c r="G1" s="262" t="n"/>
      <c r="H1" s="262" t="n"/>
      <c r="I1" s="262" t="n"/>
      <c r="K1" s="262" t="n"/>
      <c r="L1" s="262" t="n"/>
      <c r="M1" s="262" t="n"/>
      <c r="N1" s="262" t="n"/>
      <c r="O1" s="262" t="n"/>
      <c r="P1" s="262" t="n"/>
      <c r="Q1" s="262" t="n"/>
      <c r="R1" s="262" t="n"/>
      <c r="S1" s="262" t="n"/>
      <c r="T1" s="262" t="n"/>
      <c r="U1" s="262" t="n"/>
      <c r="V1" s="262" t="n"/>
      <c r="W1" s="262" t="n"/>
      <c r="X1" s="262" t="n"/>
      <c r="Y1" s="262" t="n"/>
      <c r="Z1" s="262" t="n"/>
      <c r="AA1" s="262" t="n"/>
      <c r="AB1" s="262" t="n"/>
      <c r="AC1" s="262" t="n"/>
      <c r="AD1" s="262" t="n"/>
      <c r="AE1" s="262" t="n"/>
      <c r="AF1" s="262" t="n"/>
      <c r="AG1" s="262" t="n"/>
      <c r="AH1" s="262" t="n"/>
      <c r="AI1" s="262" t="n"/>
      <c r="AJ1" s="262" t="n"/>
      <c r="AK1" s="262" t="n"/>
      <c r="AL1" s="262" t="n"/>
      <c r="AM1" s="262" t="n"/>
      <c r="AN1" s="262" t="n"/>
      <c r="AO1" s="262" t="n"/>
      <c r="AP1" s="262" t="n"/>
      <c r="AQ1" s="262" t="n"/>
      <c r="AR1" s="262" t="n"/>
      <c r="AS1" s="262" t="n"/>
      <c r="AT1" s="262" t="n"/>
      <c r="AU1" s="262" t="n"/>
      <c r="AV1" s="262" t="n"/>
      <c r="AW1" s="262" t="n"/>
      <c r="AX1" s="262" t="n"/>
      <c r="AY1" s="262" t="n"/>
      <c r="AZ1" s="262" t="n"/>
      <c r="BA1" s="262" t="n"/>
      <c r="BB1" s="262" t="n"/>
      <c r="BC1" s="262" t="n"/>
      <c r="BD1" s="262" t="n"/>
      <c r="BE1" s="262" t="n"/>
      <c r="BF1" s="262" t="n"/>
      <c r="BG1" s="262" t="n"/>
      <c r="BH1" s="262" t="n"/>
      <c r="BI1" s="262" t="n"/>
      <c r="BJ1" s="262" t="n"/>
      <c r="BK1" s="262" t="n"/>
      <c r="BL1" s="262" t="n"/>
      <c r="BM1" s="262" t="n"/>
      <c r="BN1" s="262" t="n"/>
      <c r="BO1" s="262" t="n"/>
      <c r="BP1" s="262" t="n"/>
      <c r="BQ1" s="262" t="n"/>
      <c r="BR1" s="262" t="n"/>
      <c r="BS1" s="262" t="n"/>
      <c r="BT1" s="262" t="n"/>
      <c r="BU1" s="262" t="n"/>
      <c r="BV1" s="262" t="n"/>
      <c r="BW1" s="262" t="n"/>
      <c r="BX1" s="262" t="n"/>
      <c r="CE1" s="262" t="n"/>
    </row>
    <row r="2" ht="23" customHeight="1">
      <c r="A2" s="124" t="inlineStr">
        <is>
          <t>สรุปวันลาพนักงาน</t>
        </is>
      </c>
      <c r="D2" s="124" t="inlineStr">
        <is>
          <t>ปี 2568</t>
        </is>
      </c>
    </row>
    <row r="3" customFormat="1" s="212">
      <c r="A3" s="156" t="n"/>
      <c r="B3" s="157" t="n"/>
      <c r="C3" s="158" t="n"/>
      <c r="D3" s="158" t="n"/>
      <c r="E3" s="263" t="n">
        <v>39814</v>
      </c>
      <c r="F3" s="264" t="n"/>
      <c r="G3" s="264" t="n"/>
      <c r="H3" s="264" t="n"/>
      <c r="I3" s="264" t="n"/>
      <c r="J3" s="265" t="n"/>
      <c r="K3" s="263" t="n">
        <v>39845</v>
      </c>
      <c r="L3" s="264" t="n"/>
      <c r="M3" s="264" t="n"/>
      <c r="N3" s="264" t="n"/>
      <c r="O3" s="264" t="n"/>
      <c r="P3" s="265" t="n"/>
      <c r="Q3" s="263" t="n">
        <v>39873</v>
      </c>
      <c r="R3" s="264" t="n"/>
      <c r="S3" s="264" t="n"/>
      <c r="T3" s="264" t="n"/>
      <c r="U3" s="264" t="n"/>
      <c r="V3" s="265" t="n"/>
      <c r="W3" s="263" t="n">
        <v>39904</v>
      </c>
      <c r="X3" s="264" t="n"/>
      <c r="Y3" s="264" t="n"/>
      <c r="Z3" s="264" t="n"/>
      <c r="AA3" s="264" t="n"/>
      <c r="AB3" s="265" t="n"/>
      <c r="AC3" s="263" t="n">
        <v>39934</v>
      </c>
      <c r="AD3" s="264" t="n"/>
      <c r="AE3" s="264" t="n"/>
      <c r="AF3" s="264" t="n"/>
      <c r="AG3" s="264" t="n"/>
      <c r="AH3" s="265" t="n"/>
      <c r="AI3" s="263" t="n">
        <v>39965</v>
      </c>
      <c r="AJ3" s="264" t="n"/>
      <c r="AK3" s="264" t="n"/>
      <c r="AL3" s="264" t="n"/>
      <c r="AM3" s="264" t="n"/>
      <c r="AN3" s="265" t="n"/>
      <c r="AO3" s="263" t="n">
        <v>39995</v>
      </c>
      <c r="AP3" s="264" t="n"/>
      <c r="AQ3" s="264" t="n"/>
      <c r="AR3" s="264" t="n"/>
      <c r="AS3" s="264" t="n"/>
      <c r="AT3" s="265" t="n"/>
      <c r="AU3" s="263" t="n">
        <v>40026</v>
      </c>
      <c r="AV3" s="264" t="n"/>
      <c r="AW3" s="264" t="n"/>
      <c r="AX3" s="264" t="n"/>
      <c r="AY3" s="264" t="n"/>
      <c r="AZ3" s="265" t="n"/>
      <c r="BA3" s="263" t="n">
        <v>40057</v>
      </c>
      <c r="BB3" s="264" t="n"/>
      <c r="BC3" s="264" t="n"/>
      <c r="BD3" s="264" t="n"/>
      <c r="BE3" s="264" t="n"/>
      <c r="BF3" s="265" t="n"/>
      <c r="BG3" s="263" t="n">
        <v>40087</v>
      </c>
      <c r="BH3" s="264" t="n"/>
      <c r="BI3" s="264" t="n"/>
      <c r="BJ3" s="264" t="n"/>
      <c r="BK3" s="264" t="n"/>
      <c r="BL3" s="265" t="n"/>
      <c r="BM3" s="263" t="n">
        <v>40118</v>
      </c>
      <c r="BN3" s="264" t="n"/>
      <c r="BO3" s="264" t="n"/>
      <c r="BP3" s="264" t="n"/>
      <c r="BQ3" s="264" t="n"/>
      <c r="BR3" s="265" t="n"/>
      <c r="BS3" s="263" t="n">
        <v>40148</v>
      </c>
      <c r="BT3" s="264" t="n"/>
      <c r="BU3" s="264" t="n"/>
      <c r="BV3" s="264" t="n"/>
      <c r="BW3" s="264" t="n"/>
      <c r="BX3" s="265" t="n"/>
      <c r="BY3" s="211" t="n"/>
      <c r="BZ3" s="263" t="inlineStr">
        <is>
          <t>สะสม</t>
        </is>
      </c>
      <c r="CA3" s="264" t="n"/>
      <c r="CB3" s="264" t="n"/>
      <c r="CC3" s="264" t="n"/>
      <c r="CD3" s="264" t="n"/>
      <c r="CE3" s="265" t="n"/>
    </row>
    <row r="4" ht="24" customFormat="1" customHeight="1" s="213">
      <c r="A4" s="159" t="inlineStr">
        <is>
          <t>#</t>
        </is>
      </c>
      <c r="B4" s="266" t="inlineStr">
        <is>
          <t>ชื่อ</t>
        </is>
      </c>
      <c r="C4" s="267" t="n"/>
      <c r="D4" s="161" t="inlineStr">
        <is>
          <t>นามสกุล</t>
        </is>
      </c>
      <c r="E4" s="253" t="inlineStr">
        <is>
          <t>ป่วย</t>
        </is>
      </c>
      <c r="F4" s="162" t="inlineStr">
        <is>
          <t>กิจ</t>
        </is>
      </c>
      <c r="G4" s="163" t="inlineStr">
        <is>
          <t>กิจพิเศษ</t>
        </is>
      </c>
      <c r="H4" s="162" t="inlineStr">
        <is>
          <t>ขาด</t>
        </is>
      </c>
      <c r="I4" s="163" t="inlineStr">
        <is>
          <t>พักร้อน</t>
        </is>
      </c>
      <c r="J4" s="268" t="inlineStr">
        <is>
          <t>สาย</t>
        </is>
      </c>
      <c r="K4" s="162" t="inlineStr">
        <is>
          <t>ป่วย</t>
        </is>
      </c>
      <c r="L4" s="162" t="inlineStr">
        <is>
          <t>กิจ</t>
        </is>
      </c>
      <c r="M4" s="163" t="inlineStr">
        <is>
          <t>กิจพิเศษ</t>
        </is>
      </c>
      <c r="N4" s="162" t="inlineStr">
        <is>
          <t>ขาด</t>
        </is>
      </c>
      <c r="O4" s="163" t="inlineStr">
        <is>
          <t>พักร้อน</t>
        </is>
      </c>
      <c r="P4" s="268" t="inlineStr">
        <is>
          <t>สาย</t>
        </is>
      </c>
      <c r="Q4" s="162" t="inlineStr">
        <is>
          <t>ป่วย</t>
        </is>
      </c>
      <c r="R4" s="162" t="inlineStr">
        <is>
          <t>กิจ</t>
        </is>
      </c>
      <c r="S4" s="163" t="inlineStr">
        <is>
          <t>กิจพิเศษ</t>
        </is>
      </c>
      <c r="T4" s="162" t="inlineStr">
        <is>
          <t>ขาด</t>
        </is>
      </c>
      <c r="U4" s="163" t="inlineStr">
        <is>
          <t>พักร้อน</t>
        </is>
      </c>
      <c r="V4" s="268" t="inlineStr">
        <is>
          <t>สาย</t>
        </is>
      </c>
      <c r="W4" s="162" t="inlineStr">
        <is>
          <t>ป่วย</t>
        </is>
      </c>
      <c r="X4" s="162" t="inlineStr">
        <is>
          <t>กิจ</t>
        </is>
      </c>
      <c r="Y4" s="163" t="inlineStr">
        <is>
          <t>กิจพิเศษ</t>
        </is>
      </c>
      <c r="Z4" s="162" t="inlineStr">
        <is>
          <t>ขาด</t>
        </is>
      </c>
      <c r="AA4" s="163" t="inlineStr">
        <is>
          <t>พักร้อน</t>
        </is>
      </c>
      <c r="AB4" s="268" t="inlineStr">
        <is>
          <t>สาย</t>
        </is>
      </c>
      <c r="AC4" s="162" t="inlineStr">
        <is>
          <t>ป่วย</t>
        </is>
      </c>
      <c r="AD4" s="162" t="inlineStr">
        <is>
          <t>กิจ</t>
        </is>
      </c>
      <c r="AE4" s="163" t="inlineStr">
        <is>
          <t>กิจพิเศษ</t>
        </is>
      </c>
      <c r="AF4" s="162" t="inlineStr">
        <is>
          <t>ขาด</t>
        </is>
      </c>
      <c r="AG4" s="163" t="inlineStr">
        <is>
          <t>พักร้อน</t>
        </is>
      </c>
      <c r="AH4" s="268" t="inlineStr">
        <is>
          <t>สาย</t>
        </is>
      </c>
      <c r="AI4" s="162" t="inlineStr">
        <is>
          <t>ป่วย</t>
        </is>
      </c>
      <c r="AJ4" s="162" t="inlineStr">
        <is>
          <t>กิจ</t>
        </is>
      </c>
      <c r="AK4" s="163" t="inlineStr">
        <is>
          <t>กิจพิเศษ</t>
        </is>
      </c>
      <c r="AL4" s="162" t="inlineStr">
        <is>
          <t>ขาด</t>
        </is>
      </c>
      <c r="AM4" s="163" t="inlineStr">
        <is>
          <t>พักร้อน</t>
        </is>
      </c>
      <c r="AN4" s="268" t="inlineStr">
        <is>
          <t>สาย</t>
        </is>
      </c>
      <c r="AO4" s="162" t="inlineStr">
        <is>
          <t>ป่วย</t>
        </is>
      </c>
      <c r="AP4" s="162" t="inlineStr">
        <is>
          <t>กิจ</t>
        </is>
      </c>
      <c r="AQ4" s="163" t="inlineStr">
        <is>
          <t>กิจพิเศษ</t>
        </is>
      </c>
      <c r="AR4" s="162" t="inlineStr">
        <is>
          <t>ขาด</t>
        </is>
      </c>
      <c r="AS4" s="163" t="inlineStr">
        <is>
          <t>พักร้อน</t>
        </is>
      </c>
      <c r="AT4" s="268" t="inlineStr">
        <is>
          <t>สาย</t>
        </is>
      </c>
      <c r="AU4" s="162" t="inlineStr">
        <is>
          <t>ป่วย</t>
        </is>
      </c>
      <c r="AV4" s="162" t="inlineStr">
        <is>
          <t>กิจ</t>
        </is>
      </c>
      <c r="AW4" s="163" t="inlineStr">
        <is>
          <t>กิจพิเศษ</t>
        </is>
      </c>
      <c r="AX4" s="162" t="inlineStr">
        <is>
          <t>ขาด</t>
        </is>
      </c>
      <c r="AY4" s="163" t="inlineStr">
        <is>
          <t>พักร้อน</t>
        </is>
      </c>
      <c r="AZ4" s="268" t="inlineStr">
        <is>
          <t>สาย</t>
        </is>
      </c>
      <c r="BA4" s="162" t="inlineStr">
        <is>
          <t>ป่วย</t>
        </is>
      </c>
      <c r="BB4" s="162" t="inlineStr">
        <is>
          <t>กิจ</t>
        </is>
      </c>
      <c r="BC4" s="163" t="inlineStr">
        <is>
          <t>กิจพิเศษ</t>
        </is>
      </c>
      <c r="BD4" s="162" t="inlineStr">
        <is>
          <t>ขาด</t>
        </is>
      </c>
      <c r="BE4" s="163" t="inlineStr">
        <is>
          <t>พักร้อน</t>
        </is>
      </c>
      <c r="BF4" s="268" t="inlineStr">
        <is>
          <t>สาย</t>
        </is>
      </c>
      <c r="BG4" s="162" t="inlineStr">
        <is>
          <t>ป่วย</t>
        </is>
      </c>
      <c r="BH4" s="162" t="inlineStr">
        <is>
          <t>กิจ</t>
        </is>
      </c>
      <c r="BI4" s="163" t="inlineStr">
        <is>
          <t>กิจพิเศษ</t>
        </is>
      </c>
      <c r="BJ4" s="162" t="inlineStr">
        <is>
          <t>ขาด</t>
        </is>
      </c>
      <c r="BK4" s="163" t="inlineStr">
        <is>
          <t>พักร้อน</t>
        </is>
      </c>
      <c r="BL4" s="268" t="inlineStr">
        <is>
          <t>สาย</t>
        </is>
      </c>
      <c r="BM4" s="162" t="inlineStr">
        <is>
          <t>ป่วย</t>
        </is>
      </c>
      <c r="BN4" s="162" t="inlineStr">
        <is>
          <t>กิจ</t>
        </is>
      </c>
      <c r="BO4" s="163" t="inlineStr">
        <is>
          <t>กิจพิเศษ</t>
        </is>
      </c>
      <c r="BP4" s="162" t="inlineStr">
        <is>
          <t>ขาด</t>
        </is>
      </c>
      <c r="BQ4" s="163" t="inlineStr">
        <is>
          <t>พักร้อน</t>
        </is>
      </c>
      <c r="BR4" s="268" t="inlineStr">
        <is>
          <t>สาย</t>
        </is>
      </c>
      <c r="BS4" s="162" t="inlineStr">
        <is>
          <t>ป่วย</t>
        </is>
      </c>
      <c r="BT4" s="162" t="inlineStr">
        <is>
          <t>กิจ</t>
        </is>
      </c>
      <c r="BU4" s="163" t="inlineStr">
        <is>
          <t>กิจพิเศษ</t>
        </is>
      </c>
      <c r="BV4" s="162" t="inlineStr">
        <is>
          <t>ขาด</t>
        </is>
      </c>
      <c r="BW4" s="163" t="inlineStr">
        <is>
          <t>พักร้อน</t>
        </is>
      </c>
      <c r="BX4" s="268" t="inlineStr">
        <is>
          <t>สาย</t>
        </is>
      </c>
      <c r="BZ4" s="269" t="inlineStr">
        <is>
          <t>ป่วย</t>
        </is>
      </c>
      <c r="CA4" s="270" t="inlineStr">
        <is>
          <t>กิจ</t>
        </is>
      </c>
      <c r="CB4" s="271" t="inlineStr">
        <is>
          <t>กิจพิเศษ</t>
        </is>
      </c>
      <c r="CC4" s="270" t="inlineStr">
        <is>
          <t>ขาด</t>
        </is>
      </c>
      <c r="CD4" s="271" t="inlineStr">
        <is>
          <t>พักร้อน</t>
        </is>
      </c>
      <c r="CE4" s="272" t="inlineStr">
        <is>
          <t>สาย</t>
        </is>
      </c>
    </row>
    <row r="5" ht="21.75" customHeight="1">
      <c r="A5" s="71" t="n">
        <v>1</v>
      </c>
      <c r="B5" s="137" t="inlineStr">
        <is>
          <t>นาย</t>
        </is>
      </c>
      <c r="C5" s="64" t="inlineStr">
        <is>
          <t>กิตติศักดิ์</t>
        </is>
      </c>
      <c r="D5" s="14" t="inlineStr">
        <is>
          <t>ศรีสำปทวน</t>
        </is>
      </c>
      <c r="E5" s="82" t="n"/>
      <c r="F5" s="71" t="n"/>
      <c r="G5" s="71" t="n"/>
      <c r="H5" s="71" t="n"/>
      <c r="I5" s="71" t="n"/>
      <c r="J5" s="273" t="n"/>
      <c r="K5" s="69" t="n"/>
      <c r="L5" s="71" t="n">
        <v>1</v>
      </c>
      <c r="M5" s="71" t="n"/>
      <c r="N5" s="71" t="n"/>
      <c r="O5" s="71" t="n"/>
      <c r="P5" s="273" t="n"/>
      <c r="Q5" s="69" t="n"/>
      <c r="R5" s="71" t="n"/>
      <c r="S5" s="71" t="n"/>
      <c r="T5" s="71" t="n"/>
      <c r="U5" s="71" t="n"/>
      <c r="V5" s="273" t="n"/>
      <c r="W5" s="69" t="n"/>
      <c r="X5" s="71" t="n"/>
      <c r="Y5" s="71" t="n"/>
      <c r="Z5" s="71" t="n">
        <v>1</v>
      </c>
      <c r="AA5" s="71" t="n">
        <v>1</v>
      </c>
      <c r="AB5" s="273" t="n"/>
      <c r="AC5" s="69" t="n"/>
      <c r="AD5" s="71" t="n"/>
      <c r="AE5" s="71" t="n"/>
      <c r="AF5" s="71" t="n">
        <v>1</v>
      </c>
      <c r="AG5" s="71" t="n"/>
      <c r="AH5" s="273" t="n"/>
      <c r="AI5" s="69" t="n"/>
      <c r="AJ5" s="71" t="n"/>
      <c r="AK5" s="71" t="n"/>
      <c r="AL5" s="71" t="n">
        <v>0.5</v>
      </c>
      <c r="AM5" s="71" t="n"/>
      <c r="AN5" s="273" t="n"/>
      <c r="AO5" s="69" t="n"/>
      <c r="AP5" s="71" t="n"/>
      <c r="AQ5" s="71" t="n"/>
      <c r="AR5" s="71" t="n">
        <v>0.5</v>
      </c>
      <c r="AS5" s="71" t="n"/>
      <c r="AT5" s="273" t="n"/>
      <c r="AU5" s="69" t="n"/>
      <c r="AV5" s="71" t="n">
        <v>1.5</v>
      </c>
      <c r="AW5" s="71" t="n"/>
      <c r="AX5" s="71" t="n"/>
      <c r="AY5" s="71" t="n"/>
      <c r="AZ5" s="273" t="n"/>
      <c r="BA5" s="69" t="n"/>
      <c r="BB5" s="71" t="n"/>
      <c r="BC5" s="71" t="n"/>
      <c r="BD5" s="71" t="n">
        <v>1</v>
      </c>
      <c r="BE5" s="71" t="n"/>
      <c r="BF5" s="273" t="n"/>
      <c r="BG5" s="69" t="n"/>
      <c r="BH5" s="71" t="n">
        <v>0.5</v>
      </c>
      <c r="BI5" s="71" t="n"/>
      <c r="BJ5" s="71" t="n"/>
      <c r="BK5" s="71" t="n"/>
      <c r="BL5" s="273" t="n"/>
      <c r="BM5" s="69" t="n"/>
      <c r="BN5" s="71" t="n"/>
      <c r="BO5" s="71" t="n"/>
      <c r="BP5" s="71" t="n"/>
      <c r="BQ5" s="71" t="n"/>
      <c r="BR5" s="273" t="n"/>
      <c r="BS5" s="69" t="n"/>
      <c r="BT5" s="71" t="n">
        <v>1</v>
      </c>
      <c r="BU5" s="71" t="n"/>
      <c r="BV5" s="71" t="n"/>
      <c r="BW5" s="71" t="n"/>
      <c r="BX5" s="273" t="n"/>
      <c r="BZ5" s="274">
        <f>+E5+K5+Q5+W5+AC5+AI5+AO5+AU5+BA5+BG5+BM5+BS5</f>
        <v/>
      </c>
      <c r="CA5" s="275">
        <f>+F5+L5+R5+X5+AD5+AJ5+AP5+AV5+BB5+BH5+BN5+BT5</f>
        <v/>
      </c>
      <c r="CB5" s="275">
        <f>+G5+M5+S5+Y5+AE5+AK5+AQ5+AW5+BC5+BI5+BO5+BU5</f>
        <v/>
      </c>
      <c r="CC5" s="275">
        <f>+H5+N5+T5+Z5+AF5+AL5+AR5+AX5+BD5+BJ5+BP5+BV5</f>
        <v/>
      </c>
      <c r="CD5" s="276">
        <f>+I5+O5+U5+AA5+AG5+AM5+AS5+AY5+BE5+BK5+BQ5+BW5</f>
        <v/>
      </c>
      <c r="CE5" s="142">
        <f>+J5+P5+V5+AB5+AH5+AN5+AT5+AZ5+BF5+BL5+BR5+BX5</f>
        <v/>
      </c>
      <c r="CF5" s="215" t="n"/>
    </row>
    <row r="6">
      <c r="A6" s="71" t="n">
        <v>2</v>
      </c>
      <c r="B6" s="137" t="inlineStr">
        <is>
          <t>นาย</t>
        </is>
      </c>
      <c r="C6" s="64" t="inlineStr">
        <is>
          <t>เกรียงไกร</t>
        </is>
      </c>
      <c r="D6" s="14" t="inlineStr">
        <is>
          <t>พึ่งพวก</t>
        </is>
      </c>
      <c r="E6" s="82" t="n"/>
      <c r="F6" s="71" t="n">
        <v>6</v>
      </c>
      <c r="G6" s="71" t="n"/>
      <c r="H6" s="71" t="n">
        <v>1</v>
      </c>
      <c r="I6" s="71" t="n"/>
      <c r="J6" s="273" t="n"/>
      <c r="K6" s="69" t="n">
        <v>2.5</v>
      </c>
      <c r="L6" s="71" t="n"/>
      <c r="M6" s="71" t="n"/>
      <c r="N6" s="71" t="n">
        <v>1.5</v>
      </c>
      <c r="O6" s="71" t="n"/>
      <c r="P6" s="273" t="n"/>
      <c r="Q6" s="69" t="n">
        <v>2</v>
      </c>
      <c r="R6" s="71" t="n"/>
      <c r="S6" s="71" t="n"/>
      <c r="T6" s="71" t="n">
        <v>1.5</v>
      </c>
      <c r="U6" s="71" t="n"/>
      <c r="V6" s="273" t="n"/>
      <c r="W6" s="69" t="n">
        <v>7</v>
      </c>
      <c r="X6" s="71" t="n"/>
      <c r="Y6" s="71" t="n">
        <v>1</v>
      </c>
      <c r="Z6" s="71" t="n">
        <v>0.5</v>
      </c>
      <c r="AA6" s="71" t="n"/>
      <c r="AB6" s="273" t="n"/>
      <c r="AC6" s="69" t="n"/>
      <c r="AD6" s="71" t="n"/>
      <c r="AE6" s="71" t="n">
        <v>1</v>
      </c>
      <c r="AF6" s="71" t="n">
        <v>0.5</v>
      </c>
      <c r="AG6" s="71" t="n"/>
      <c r="AH6" s="273" t="n"/>
      <c r="AI6" s="69" t="n">
        <v>8</v>
      </c>
      <c r="AJ6" s="71" t="n"/>
      <c r="AK6" s="71" t="n"/>
      <c r="AL6" s="71" t="n">
        <v>1</v>
      </c>
      <c r="AM6" s="71" t="n"/>
      <c r="AN6" s="273" t="n"/>
      <c r="AO6" s="69" t="n">
        <v>3</v>
      </c>
      <c r="AP6" s="71" t="n"/>
      <c r="AQ6" s="71" t="n">
        <v>0.5</v>
      </c>
      <c r="AR6" s="71" t="n"/>
      <c r="AS6" s="71" t="n"/>
      <c r="AT6" s="273" t="n">
        <v>0.001388888888888889</v>
      </c>
      <c r="AU6" s="69" t="n">
        <v>3</v>
      </c>
      <c r="AV6" s="71" t="n"/>
      <c r="AW6" s="71" t="n"/>
      <c r="AX6" s="71" t="n"/>
      <c r="AY6" s="71" t="n"/>
      <c r="AZ6" s="273" t="n"/>
      <c r="BA6" s="69" t="n">
        <v>2</v>
      </c>
      <c r="BB6" s="71" t="n"/>
      <c r="BC6" s="71" t="n">
        <v>1</v>
      </c>
      <c r="BD6" s="71" t="n"/>
      <c r="BE6" s="71" t="n"/>
      <c r="BF6" s="273" t="n"/>
      <c r="BG6" s="69" t="n">
        <v>1</v>
      </c>
      <c r="BH6" s="71" t="n"/>
      <c r="BI6" s="71" t="n"/>
      <c r="BJ6" s="71" t="n"/>
      <c r="BK6" s="71" t="n">
        <v>2</v>
      </c>
      <c r="BL6" s="273" t="n"/>
      <c r="BM6" s="69" t="n">
        <v>2</v>
      </c>
      <c r="BN6" s="71" t="n"/>
      <c r="BO6" s="71" t="n"/>
      <c r="BP6" s="71" t="n">
        <v>0.5</v>
      </c>
      <c r="BQ6" s="71" t="n"/>
      <c r="BR6" s="273" t="n"/>
      <c r="BS6" s="69" t="n"/>
      <c r="BT6" s="71" t="n"/>
      <c r="BU6" s="71" t="n">
        <v>3</v>
      </c>
      <c r="BV6" s="71" t="n"/>
      <c r="BW6" s="71" t="n">
        <v>4</v>
      </c>
      <c r="BX6" s="273" t="n"/>
      <c r="BZ6" s="274">
        <f>+E6+K6+Q6+W6+AC6+AI6+AO6+AU6+BA6+BG6+BM6+BS6</f>
        <v/>
      </c>
      <c r="CA6" s="275">
        <f>+F6+L6+R6+X6+AD6+AJ6+AP6+AV6+BB6+BH6+BN6+BT6</f>
        <v/>
      </c>
      <c r="CB6" s="275">
        <f>+G6+M6+S6+Y6+AE6+AK6+AQ6+AW6+BC6+BI6+BO6+BU6</f>
        <v/>
      </c>
      <c r="CC6" s="275">
        <f>+H6+N6+T6+Z6+AF6+AL6+AR6+AX6+BD6+BJ6+BP6+BV6</f>
        <v/>
      </c>
      <c r="CD6" s="276">
        <f>+I6+O6+U6+AA6+AG6+AM6+AS6+AY6+BE6+BK6+BQ6+BW6</f>
        <v/>
      </c>
      <c r="CE6" s="142">
        <f>+J6+P6+V6+AB6+AH6+AN6+AT6+AZ6+BF6+BL6+BR6+BX6</f>
        <v/>
      </c>
    </row>
    <row r="7">
      <c r="A7" s="71" t="n">
        <v>3</v>
      </c>
      <c r="B7" s="137" t="inlineStr">
        <is>
          <t>นาย</t>
        </is>
      </c>
      <c r="C7" s="64" t="inlineStr">
        <is>
          <t>คมสัน</t>
        </is>
      </c>
      <c r="D7" s="14" t="inlineStr">
        <is>
          <t>บุญมา</t>
        </is>
      </c>
      <c r="E7" s="82" t="n"/>
      <c r="F7" s="71" t="n"/>
      <c r="G7" s="71" t="n"/>
      <c r="H7" s="71" t="n"/>
      <c r="I7" s="71" t="n"/>
      <c r="J7" s="273" t="n"/>
      <c r="K7" s="69" t="n"/>
      <c r="L7" s="71" t="n"/>
      <c r="M7" s="71" t="n"/>
      <c r="N7" s="71" t="n"/>
      <c r="O7" s="71" t="n"/>
      <c r="P7" s="273" t="n"/>
      <c r="Q7" s="69" t="n"/>
      <c r="R7" s="71" t="n"/>
      <c r="S7" s="71" t="n"/>
      <c r="T7" s="71" t="n"/>
      <c r="U7" s="71" t="n"/>
      <c r="V7" s="273" t="n"/>
      <c r="W7" s="69" t="n"/>
      <c r="X7" s="71" t="n"/>
      <c r="Y7" s="71" t="n"/>
      <c r="Z7" s="71" t="n"/>
      <c r="AA7" s="71" t="n"/>
      <c r="AB7" s="273" t="n"/>
      <c r="AC7" s="69" t="n">
        <v>1</v>
      </c>
      <c r="AD7" s="71" t="n"/>
      <c r="AE7" s="71" t="n"/>
      <c r="AF7" s="71" t="n"/>
      <c r="AG7" s="71" t="n"/>
      <c r="AH7" s="273" t="n"/>
      <c r="AI7" s="69" t="n">
        <v>3</v>
      </c>
      <c r="AJ7" s="71" t="n"/>
      <c r="AK7" s="71" t="n"/>
      <c r="AL7" s="71" t="n"/>
      <c r="AM7" s="71" t="n"/>
      <c r="AN7" s="273" t="n"/>
      <c r="AO7" s="69" t="n"/>
      <c r="AP7" s="71" t="n"/>
      <c r="AQ7" s="71" t="n"/>
      <c r="AR7" s="71" t="n"/>
      <c r="AS7" s="71" t="n">
        <v>2</v>
      </c>
      <c r="AT7" s="273" t="n"/>
      <c r="AU7" s="69" t="n"/>
      <c r="AV7" s="71" t="n"/>
      <c r="AW7" s="71" t="n"/>
      <c r="AX7" s="71" t="n"/>
      <c r="AY7" s="71" t="n">
        <v>1</v>
      </c>
      <c r="AZ7" s="273" t="n"/>
      <c r="BA7" s="69" t="n"/>
      <c r="BB7" s="71" t="n"/>
      <c r="BC7" s="71" t="n"/>
      <c r="BD7" s="71" t="n"/>
      <c r="BE7" s="71" t="n"/>
      <c r="BF7" s="273" t="n"/>
      <c r="BG7" s="69" t="n"/>
      <c r="BH7" s="71" t="n"/>
      <c r="BI7" s="71" t="n"/>
      <c r="BJ7" s="71" t="n"/>
      <c r="BK7" s="71" t="n"/>
      <c r="BL7" s="273" t="n"/>
      <c r="BM7" s="69" t="n">
        <v>0.5</v>
      </c>
      <c r="BN7" s="71" t="n">
        <v>1</v>
      </c>
      <c r="BO7" s="71" t="n"/>
      <c r="BP7" s="71" t="n"/>
      <c r="BQ7" s="71" t="n"/>
      <c r="BR7" s="273" t="n"/>
      <c r="BS7" s="69" t="n">
        <v>1</v>
      </c>
      <c r="BT7" s="71" t="n"/>
      <c r="BU7" s="71" t="n"/>
      <c r="BV7" s="71" t="n"/>
      <c r="BW7" s="71" t="n">
        <v>3</v>
      </c>
      <c r="BX7" s="273" t="n"/>
      <c r="BZ7" s="274">
        <f>+E7+K7+Q7+W7+AC7+AI7+AO7+AU7+BA7+BG7+BM7+BS7</f>
        <v/>
      </c>
      <c r="CA7" s="275">
        <f>+F7+L7+R7+X7+AD7+AJ7+AP7+AV7+BB7+BH7+BN7+BT7</f>
        <v/>
      </c>
      <c r="CB7" s="275">
        <f>+G7+M7+S7+Y7+AE7+AK7+AQ7+AW7+BC7+BI7+BO7+BU7</f>
        <v/>
      </c>
      <c r="CC7" s="275">
        <f>+H7+N7+T7+Z7+AF7+AL7+AR7+AX7+BD7+BJ7+BP7+BV7</f>
        <v/>
      </c>
      <c r="CD7" s="276">
        <f>+I7+O7+U7+AA7+AG7+AM7+AS7+AY7+BE7+BK7+BQ7+BW7</f>
        <v/>
      </c>
      <c r="CE7" s="142">
        <f>+J7+P7+V7+AB7+AH7+AN7+AT7+AZ7+BF7+BL7+BR7+BX7</f>
        <v/>
      </c>
    </row>
    <row r="8">
      <c r="A8" s="71" t="n">
        <v>4</v>
      </c>
      <c r="B8" s="137" t="inlineStr">
        <is>
          <t>น.ส.</t>
        </is>
      </c>
      <c r="C8" s="74" t="inlineStr">
        <is>
          <t>จารุวรรณ</t>
        </is>
      </c>
      <c r="D8" s="107" t="inlineStr">
        <is>
          <t>เปี่ยมเสน</t>
        </is>
      </c>
      <c r="E8" s="69" t="n">
        <v>2</v>
      </c>
      <c r="F8" s="71" t="n">
        <v>0.5</v>
      </c>
      <c r="G8" s="71" t="n"/>
      <c r="H8" s="71" t="n"/>
      <c r="I8" s="71" t="n">
        <v>2</v>
      </c>
      <c r="J8" s="273" t="n"/>
      <c r="K8" s="69" t="n">
        <v>2</v>
      </c>
      <c r="L8" s="71" t="n"/>
      <c r="M8" s="71" t="n"/>
      <c r="N8" s="71" t="n"/>
      <c r="O8" s="71" t="n"/>
      <c r="P8" s="273" t="n"/>
      <c r="Q8" s="69" t="n">
        <v>1</v>
      </c>
      <c r="R8" s="71" t="n">
        <v>1.5</v>
      </c>
      <c r="S8" s="71" t="n"/>
      <c r="T8" s="71" t="n"/>
      <c r="U8" s="71" t="n">
        <v>1</v>
      </c>
      <c r="V8" s="273" t="n"/>
      <c r="W8" s="69" t="n">
        <v>2</v>
      </c>
      <c r="X8" s="71" t="n">
        <v>0.5</v>
      </c>
      <c r="Y8" s="71" t="n"/>
      <c r="Z8" s="71" t="n"/>
      <c r="AA8" s="71" t="n"/>
      <c r="AB8" s="273" t="n"/>
      <c r="AC8" s="69" t="n">
        <v>1</v>
      </c>
      <c r="AD8" s="71" t="n">
        <v>1</v>
      </c>
      <c r="AE8" s="71" t="n"/>
      <c r="AF8" s="71" t="n"/>
      <c r="AG8" s="71" t="n">
        <v>1</v>
      </c>
      <c r="AH8" s="273" t="n"/>
      <c r="AI8" s="69" t="n">
        <v>3</v>
      </c>
      <c r="AJ8" s="71" t="n"/>
      <c r="AK8" s="71" t="n"/>
      <c r="AL8" s="71" t="n"/>
      <c r="AM8" s="71" t="n"/>
      <c r="AN8" s="273" t="n"/>
      <c r="AO8" s="69" t="n"/>
      <c r="AP8" s="71" t="n"/>
      <c r="AQ8" s="71" t="n"/>
      <c r="AR8" s="71" t="n"/>
      <c r="AS8" s="71" t="n">
        <v>1</v>
      </c>
      <c r="AT8" s="273" t="n"/>
      <c r="AU8" s="69" t="n">
        <v>2</v>
      </c>
      <c r="AV8" s="71" t="n"/>
      <c r="AW8" s="71" t="n"/>
      <c r="AX8" s="71" t="n"/>
      <c r="AY8" s="71" t="n"/>
      <c r="AZ8" s="273" t="n"/>
      <c r="BA8" s="69" t="n">
        <v>1</v>
      </c>
      <c r="BB8" s="71" t="n">
        <v>1</v>
      </c>
      <c r="BC8" s="71" t="n"/>
      <c r="BD8" s="71" t="n"/>
      <c r="BE8" s="71" t="n"/>
      <c r="BF8" s="273" t="n"/>
      <c r="BG8" s="69" t="n">
        <v>3</v>
      </c>
      <c r="BH8" s="71" t="n">
        <v>1.5</v>
      </c>
      <c r="BI8" s="71" t="n"/>
      <c r="BJ8" s="71" t="n">
        <v>1</v>
      </c>
      <c r="BK8" s="71" t="n"/>
      <c r="BL8" s="273" t="n"/>
      <c r="BM8" s="69" t="n"/>
      <c r="BN8" s="71" t="n"/>
      <c r="BO8" s="71" t="n">
        <v>0.5</v>
      </c>
      <c r="BP8" s="71" t="n"/>
      <c r="BQ8" s="71" t="n"/>
      <c r="BR8" s="273" t="n"/>
      <c r="BS8" s="69" t="n"/>
      <c r="BT8" s="71" t="n"/>
      <c r="BU8" s="71" t="n"/>
      <c r="BV8" s="71" t="n"/>
      <c r="BW8" s="71" t="n"/>
      <c r="BX8" s="273" t="n"/>
      <c r="BZ8" s="274">
        <f>+E8+K8+Q8+W8+AC8+AI8+AO8+AU8+BA8+BG8+BM8+BS8</f>
        <v/>
      </c>
      <c r="CA8" s="275">
        <f>+F8+L8+R8+X8+AD8+AJ8+AP8+AV8+BB8+BH8+BN8+BT8</f>
        <v/>
      </c>
      <c r="CB8" s="275">
        <f>+G8+M8+S8+Y8+AE8+AK8+AQ8+AW8+BC8+BI8+BO8+BU8</f>
        <v/>
      </c>
      <c r="CC8" s="277">
        <f>+H8+N8+T8+Z8+AF8+AL8+AR8+AX8+BD8+BJ8+BP8+BV8</f>
        <v/>
      </c>
      <c r="CD8" s="276">
        <f>+I8+O8+U8+AA8+AG8+AM8+AS8+AY8+BE8+BK8+BQ8+BW8</f>
        <v/>
      </c>
      <c r="CE8" s="142">
        <f>+J8+P8+V8+AB8+AH8+AN8+AT8+AZ8+BF8+BL8+BR8+BX8</f>
        <v/>
      </c>
    </row>
    <row r="9">
      <c r="A9" s="71" t="n">
        <v>5</v>
      </c>
      <c r="B9" s="137" t="inlineStr">
        <is>
          <t>น.ส.</t>
        </is>
      </c>
      <c r="C9" s="74" t="inlineStr">
        <is>
          <t>จิราภรณ์</t>
        </is>
      </c>
      <c r="D9" s="107" t="inlineStr">
        <is>
          <t>สิงห์บุตร</t>
        </is>
      </c>
      <c r="E9" s="69" t="n">
        <v>1.5</v>
      </c>
      <c r="F9" s="71" t="n">
        <v>1</v>
      </c>
      <c r="G9" s="71" t="n"/>
      <c r="H9" s="71" t="n"/>
      <c r="I9" s="71" t="n">
        <v>1</v>
      </c>
      <c r="J9" s="273" t="n"/>
      <c r="K9" s="69" t="n">
        <v>2</v>
      </c>
      <c r="L9" s="71" t="n">
        <v>1</v>
      </c>
      <c r="M9" s="71" t="n"/>
      <c r="N9" s="71" t="n"/>
      <c r="O9" s="71" t="n"/>
      <c r="P9" s="273" t="n"/>
      <c r="Q9" s="69" t="n">
        <v>1</v>
      </c>
      <c r="R9" s="71" t="n"/>
      <c r="S9" s="71" t="n"/>
      <c r="T9" s="71" t="n">
        <v>0.5</v>
      </c>
      <c r="U9" s="71" t="n">
        <v>1</v>
      </c>
      <c r="V9" s="273" t="n"/>
      <c r="W9" s="69" t="n">
        <v>1</v>
      </c>
      <c r="X9" s="71" t="n">
        <v>3</v>
      </c>
      <c r="Y9" s="71" t="n"/>
      <c r="Z9" s="71" t="n"/>
      <c r="AA9" s="71" t="n"/>
      <c r="AB9" s="273" t="n"/>
      <c r="AC9" s="69" t="n">
        <v>6</v>
      </c>
      <c r="AD9" s="71" t="n"/>
      <c r="AE9" s="71" t="n"/>
      <c r="AF9" s="71" t="n"/>
      <c r="AG9" s="71" t="n"/>
      <c r="AH9" s="273" t="n"/>
      <c r="AI9" s="69" t="n">
        <v>9</v>
      </c>
      <c r="AJ9" s="71" t="n">
        <v>1</v>
      </c>
      <c r="AK9" s="71" t="n">
        <v>3</v>
      </c>
      <c r="AL9" s="71" t="n"/>
      <c r="AM9" s="71" t="n"/>
      <c r="AN9" s="273" t="n"/>
      <c r="AO9" s="69" t="n">
        <v>3</v>
      </c>
      <c r="AP9" s="71" t="n"/>
      <c r="AQ9" s="71" t="n">
        <v>1</v>
      </c>
      <c r="AR9" s="71" t="n"/>
      <c r="AS9" s="71" t="n">
        <v>1</v>
      </c>
      <c r="AT9" s="273" t="n"/>
      <c r="AU9" s="69" t="n"/>
      <c r="AV9" s="71" t="n"/>
      <c r="AW9" s="71" t="n">
        <v>1</v>
      </c>
      <c r="AX9" s="71" t="n">
        <v>2</v>
      </c>
      <c r="AY9" s="71" t="n">
        <v>1</v>
      </c>
      <c r="AZ9" s="273" t="n"/>
      <c r="BA9" s="69" t="n">
        <v>2</v>
      </c>
      <c r="BB9" s="71" t="n"/>
      <c r="BC9" s="71" t="n"/>
      <c r="BD9" s="71" t="n"/>
      <c r="BE9" s="71" t="n"/>
      <c r="BF9" s="273" t="n"/>
      <c r="BG9" s="69" t="n">
        <v>1</v>
      </c>
      <c r="BH9" s="71" t="n"/>
      <c r="BI9" s="71" t="n"/>
      <c r="BJ9" s="71" t="n">
        <v>0.5</v>
      </c>
      <c r="BK9" s="71" t="n"/>
      <c r="BL9" s="273" t="n"/>
      <c r="BM9" s="69" t="n">
        <v>1.5</v>
      </c>
      <c r="BN9" s="71" t="n"/>
      <c r="BO9" s="71" t="n"/>
      <c r="BP9" s="71" t="n"/>
      <c r="BQ9" s="71" t="n">
        <v>1</v>
      </c>
      <c r="BR9" s="273" t="n"/>
      <c r="BS9" s="69" t="n"/>
      <c r="BT9" s="71" t="n"/>
      <c r="BU9" s="71" t="n">
        <v>1</v>
      </c>
      <c r="BV9" s="71" t="n">
        <v>0.5</v>
      </c>
      <c r="BW9" s="71" t="n">
        <v>1</v>
      </c>
      <c r="BX9" s="273" t="n"/>
      <c r="BZ9" s="274">
        <f>+E9+K9+Q9+W9+AC9+AI9+AO9+AU9+BA9+BG9+BM9+BS9</f>
        <v/>
      </c>
      <c r="CA9" s="275">
        <f>+F9+L9+R9+X9+AD9+AJ9+AP9+AV9+BB9+BH9+BN9+BT9</f>
        <v/>
      </c>
      <c r="CB9" s="275">
        <f>+G9+M9+S9+Y9+AE9+AK9+AQ9+AW9+BC9+BI9+BO9+BU9</f>
        <v/>
      </c>
      <c r="CC9" s="275">
        <f>+H9+N9+T9+Z9+AF9+AL9+AR9+AX9+BD9+BJ9+BP9+BV9</f>
        <v/>
      </c>
      <c r="CD9" s="276">
        <f>+I9+O9+U9+AA9+AG9+AM9+AS9+AY9+BE9+BK9+BQ9+BW9</f>
        <v/>
      </c>
      <c r="CE9" s="142">
        <f>+J9+P9+V9+AB9+AH9+AN9+AT9+AZ9+BF9+BL9+BR9+BX9</f>
        <v/>
      </c>
    </row>
    <row r="10">
      <c r="A10" s="71" t="n">
        <v>6</v>
      </c>
      <c r="B10" s="137" t="inlineStr">
        <is>
          <t>นาย</t>
        </is>
      </c>
      <c r="C10" s="74" t="inlineStr">
        <is>
          <t>ชยันต์</t>
        </is>
      </c>
      <c r="D10" s="107" t="inlineStr">
        <is>
          <t>บุญจันทร์</t>
        </is>
      </c>
      <c r="E10" s="69" t="n">
        <v>1.5</v>
      </c>
      <c r="F10" s="71" t="n">
        <v>1.5</v>
      </c>
      <c r="G10" s="71" t="n"/>
      <c r="H10" s="71" t="n"/>
      <c r="I10" s="71" t="n"/>
      <c r="J10" s="273" t="n">
        <v>0.0006944444444444445</v>
      </c>
      <c r="K10" s="69" t="n">
        <v>2</v>
      </c>
      <c r="L10" s="71" t="n">
        <v>0.5</v>
      </c>
      <c r="M10" s="71" t="n"/>
      <c r="N10" s="71" t="n"/>
      <c r="O10" s="71" t="n"/>
      <c r="P10" s="273" t="n"/>
      <c r="Q10" s="69" t="n"/>
      <c r="R10" s="71" t="n">
        <v>1.5</v>
      </c>
      <c r="S10" s="71" t="n"/>
      <c r="T10" s="71" t="n"/>
      <c r="U10" s="71" t="n"/>
      <c r="V10" s="273" t="n">
        <v>0.001388888888888889</v>
      </c>
      <c r="W10" s="69" t="n">
        <v>1</v>
      </c>
      <c r="X10" s="71" t="n"/>
      <c r="Y10" s="71" t="n"/>
      <c r="Z10" s="71" t="n">
        <v>1</v>
      </c>
      <c r="AA10" s="71" t="n">
        <v>1</v>
      </c>
      <c r="AB10" s="273" t="n">
        <v>0.001388888888888889</v>
      </c>
      <c r="AC10" s="69" t="n"/>
      <c r="AD10" s="71" t="n">
        <v>1.5</v>
      </c>
      <c r="AE10" s="71" t="n"/>
      <c r="AF10" s="71" t="n">
        <v>1</v>
      </c>
      <c r="AG10" s="71" t="n"/>
      <c r="AH10" s="273" t="n"/>
      <c r="AI10" s="69" t="n">
        <v>4</v>
      </c>
      <c r="AJ10" s="71" t="n"/>
      <c r="AK10" s="71" t="n"/>
      <c r="AL10" s="71" t="n">
        <v>1</v>
      </c>
      <c r="AM10" s="71" t="n">
        <v>1</v>
      </c>
      <c r="AN10" s="273" t="n"/>
      <c r="AO10" s="69" t="n">
        <v>1</v>
      </c>
      <c r="AP10" s="71" t="n">
        <v>1</v>
      </c>
      <c r="AQ10" s="71" t="n"/>
      <c r="AR10" s="71" t="n"/>
      <c r="AS10" s="71" t="n"/>
      <c r="AT10" s="273" t="n"/>
      <c r="AU10" s="69" t="n">
        <v>2</v>
      </c>
      <c r="AV10" s="71" t="n"/>
      <c r="AW10" s="71" t="n"/>
      <c r="AX10" s="71" t="n">
        <v>0.5</v>
      </c>
      <c r="AY10" s="71" t="n"/>
      <c r="AZ10" s="273" t="n"/>
      <c r="BA10" s="69" t="n"/>
      <c r="BB10" s="71" t="n"/>
      <c r="BC10" s="71" t="n">
        <v>1</v>
      </c>
      <c r="BD10" s="71" t="n"/>
      <c r="BE10" s="71" t="n"/>
      <c r="BF10" s="273" t="n">
        <v>0.004166666666666667</v>
      </c>
      <c r="BG10" s="69" t="n">
        <v>4.5</v>
      </c>
      <c r="BH10" s="71" t="n"/>
      <c r="BI10" s="71" t="n">
        <v>2</v>
      </c>
      <c r="BJ10" s="71" t="n"/>
      <c r="BK10" s="71" t="n"/>
      <c r="BL10" s="273" t="n">
        <v>0.001388888888888889</v>
      </c>
      <c r="BM10" s="69" t="n">
        <v>1</v>
      </c>
      <c r="BN10" s="71" t="n"/>
      <c r="BO10" s="71" t="n">
        <v>1</v>
      </c>
      <c r="BP10" s="71" t="n"/>
      <c r="BQ10" s="71" t="n">
        <v>2</v>
      </c>
      <c r="BR10" s="273" t="n">
        <v>0.0006944444444444445</v>
      </c>
      <c r="BS10" s="69" t="n"/>
      <c r="BT10" s="71" t="n"/>
      <c r="BU10" s="71" t="n">
        <v>2</v>
      </c>
      <c r="BV10" s="71" t="n">
        <v>1</v>
      </c>
      <c r="BW10" s="71" t="n">
        <v>2</v>
      </c>
      <c r="BX10" s="273" t="n"/>
      <c r="BZ10" s="274">
        <f>+E10+K10+Q10+W10+AC10+AI10+AO10+AU10+BA10+BG10+BM10+BS10</f>
        <v/>
      </c>
      <c r="CA10" s="275">
        <f>+F10+L10+R10+X10+AD10+AJ10+AP10+AV10+BB10+BH10+BN10+BT10</f>
        <v/>
      </c>
      <c r="CB10" s="275">
        <f>+G10+M10+S10+Y10+AE10+AK10+AQ10+AW10+BC10+BI10+BO10+BU10</f>
        <v/>
      </c>
      <c r="CC10" s="275">
        <f>+H10+N10+T10+Z10+AF10+AL10+AR10+AX10+BD10+BJ10+BP10+BV10</f>
        <v/>
      </c>
      <c r="CD10" s="276">
        <f>+I10+O10+U10+AA10+AG10+AM10+AS10+AY10+BE10+BK10+BQ10+BW10</f>
        <v/>
      </c>
      <c r="CE10" s="142">
        <f>+J10+P10+V10+AB10+AH10+AN10+AT10+AZ10+BF10+BL10+BR10+BX10</f>
        <v/>
      </c>
    </row>
    <row r="11">
      <c r="A11" s="71" t="n">
        <v>7</v>
      </c>
      <c r="B11" s="137" t="inlineStr">
        <is>
          <t>นาง</t>
        </is>
      </c>
      <c r="C11" s="74" t="inlineStr">
        <is>
          <t>ชุติมา</t>
        </is>
      </c>
      <c r="D11" s="107" t="inlineStr">
        <is>
          <t>นวลศรีไพร</t>
        </is>
      </c>
      <c r="E11" s="69" t="n"/>
      <c r="F11" s="71" t="n">
        <v>1</v>
      </c>
      <c r="G11" s="71" t="n"/>
      <c r="H11" s="71" t="n"/>
      <c r="I11" s="71" t="n">
        <v>1</v>
      </c>
      <c r="J11" s="273" t="n">
        <v>0.002083333333333333</v>
      </c>
      <c r="K11" s="69" t="n">
        <v>1.5</v>
      </c>
      <c r="L11" s="71" t="n"/>
      <c r="M11" s="71" t="n"/>
      <c r="N11" s="71" t="n"/>
      <c r="O11" s="71" t="n"/>
      <c r="P11" s="273" t="n"/>
      <c r="Q11" s="69" t="n"/>
      <c r="R11" s="71" t="n"/>
      <c r="S11" s="71" t="n"/>
      <c r="T11" s="71" t="n"/>
      <c r="U11" s="71" t="n"/>
      <c r="V11" s="273" t="n">
        <v>0.0006944444444444445</v>
      </c>
      <c r="W11" s="69" t="n"/>
      <c r="X11" s="71" t="n">
        <v>1</v>
      </c>
      <c r="Y11" s="71" t="n"/>
      <c r="Z11" s="71" t="n"/>
      <c r="AA11" s="71" t="n">
        <v>1</v>
      </c>
      <c r="AB11" s="273" t="n"/>
      <c r="AC11" s="69" t="n"/>
      <c r="AD11" s="71" t="n"/>
      <c r="AE11" s="71" t="n"/>
      <c r="AF11" s="71" t="n"/>
      <c r="AG11" s="71" t="n"/>
      <c r="AH11" s="273" t="n">
        <v>0.0006944444444444445</v>
      </c>
      <c r="AI11" s="69" t="n"/>
      <c r="AJ11" s="71" t="n">
        <v>1</v>
      </c>
      <c r="AK11" s="71" t="n"/>
      <c r="AL11" s="71" t="n"/>
      <c r="AM11" s="71" t="n"/>
      <c r="AN11" s="273" t="n"/>
      <c r="AO11" s="69" t="n"/>
      <c r="AP11" s="71" t="n">
        <v>1</v>
      </c>
      <c r="AQ11" s="71" t="n"/>
      <c r="AR11" s="71" t="n"/>
      <c r="AS11" s="71" t="n">
        <v>2</v>
      </c>
      <c r="AT11" s="273" t="n"/>
      <c r="AU11" s="69" t="n">
        <v>1.5</v>
      </c>
      <c r="AV11" s="71" t="n"/>
      <c r="AW11" s="71" t="n"/>
      <c r="AX11" s="71" t="n"/>
      <c r="AY11" s="71" t="n"/>
      <c r="AZ11" s="273" t="n">
        <v>0.001388888888888889</v>
      </c>
      <c r="BA11" s="69" t="n"/>
      <c r="BB11" s="71" t="n"/>
      <c r="BC11" s="71" t="n"/>
      <c r="BD11" s="71" t="n"/>
      <c r="BE11" s="71" t="n">
        <v>1</v>
      </c>
      <c r="BF11" s="273" t="n">
        <v>0.001388888888888889</v>
      </c>
      <c r="BG11" s="69" t="n"/>
      <c r="BH11" s="71" t="n"/>
      <c r="BI11" s="71" t="n"/>
      <c r="BJ11" s="71" t="n"/>
      <c r="BK11" s="71" t="n">
        <v>1</v>
      </c>
      <c r="BL11" s="273" t="n">
        <v>0.0006944444444444445</v>
      </c>
      <c r="BM11" s="69" t="n"/>
      <c r="BN11" s="71" t="n">
        <v>1.5</v>
      </c>
      <c r="BO11" s="71" t="n"/>
      <c r="BP11" s="71" t="n"/>
      <c r="BQ11" s="71" t="n"/>
      <c r="BR11" s="273" t="n">
        <v>0.001388888888888889</v>
      </c>
      <c r="BS11" s="69" t="n"/>
      <c r="BT11" s="71" t="n">
        <v>0.5</v>
      </c>
      <c r="BU11" s="71" t="n">
        <v>2.5</v>
      </c>
      <c r="BV11" s="71" t="n"/>
      <c r="BW11" s="71" t="n"/>
      <c r="BX11" s="273" t="n">
        <v>0.004166666666666667</v>
      </c>
      <c r="BZ11" s="274">
        <f>+E11+K11+Q11+W11+AC11+AI11+AO11+AU11+BA11+BG11+BM11+BS11</f>
        <v/>
      </c>
      <c r="CA11" s="275">
        <f>+F11+L11+R11+X11+AD11+AJ11+AP11+AV11+BB11+BH11+BN11+BT11</f>
        <v/>
      </c>
      <c r="CB11" s="275">
        <f>+G11+M11+S11+Y11+AE11+AK11+AQ11+AW11+BC11+BI11+BO11+BU11</f>
        <v/>
      </c>
      <c r="CC11" s="275" t="n">
        <v>0</v>
      </c>
      <c r="CD11" s="276">
        <f>+I11+O11+U11+AA11+AG11+AM11+AS11+AY11+BE11+BK11+BQ11+BW11</f>
        <v/>
      </c>
      <c r="CE11" s="142">
        <f>+J11+P11+V11+AB11+AH11+AN11+AT11+AZ11+BF11+BL11+BR11+BX11</f>
        <v/>
      </c>
    </row>
    <row r="12">
      <c r="A12" s="71" t="n">
        <v>8</v>
      </c>
      <c r="B12" s="137" t="inlineStr">
        <is>
          <t>นาย</t>
        </is>
      </c>
      <c r="C12" s="74" t="inlineStr">
        <is>
          <t>ชูชาติ</t>
        </is>
      </c>
      <c r="D12" s="107" t="inlineStr">
        <is>
          <t>ไหมทอง</t>
        </is>
      </c>
      <c r="E12" s="69" t="n">
        <v>1</v>
      </c>
      <c r="F12" s="71" t="n"/>
      <c r="G12" s="71" t="n"/>
      <c r="H12" s="71" t="n"/>
      <c r="I12" s="71" t="n"/>
      <c r="J12" s="273" t="n"/>
      <c r="K12" s="69" t="n"/>
      <c r="L12" s="71" t="n"/>
      <c r="M12" s="71" t="n"/>
      <c r="N12" s="71" t="n"/>
      <c r="O12" s="71" t="n">
        <v>2</v>
      </c>
      <c r="P12" s="273" t="n"/>
      <c r="Q12" s="69" t="n">
        <v>1</v>
      </c>
      <c r="R12" s="71" t="n">
        <v>2</v>
      </c>
      <c r="S12" s="71" t="n"/>
      <c r="T12" s="71" t="n"/>
      <c r="U12" s="71" t="n">
        <v>1</v>
      </c>
      <c r="V12" s="273" t="n"/>
      <c r="W12" s="69" t="n">
        <v>3</v>
      </c>
      <c r="X12" s="71" t="n">
        <v>2</v>
      </c>
      <c r="Y12" s="71" t="n"/>
      <c r="Z12" s="71" t="n"/>
      <c r="AA12" s="71" t="n"/>
      <c r="AB12" s="273" t="n"/>
      <c r="AC12" s="69" t="n">
        <v>2</v>
      </c>
      <c r="AD12" s="71" t="n"/>
      <c r="AE12" s="71" t="n"/>
      <c r="AF12" s="71" t="n"/>
      <c r="AG12" s="71" t="n"/>
      <c r="AH12" s="273" t="n"/>
      <c r="AI12" s="69" t="n"/>
      <c r="AJ12" s="71" t="n"/>
      <c r="AK12" s="71" t="n"/>
      <c r="AL12" s="71" t="n"/>
      <c r="AM12" s="71" t="n"/>
      <c r="AN12" s="273" t="n"/>
      <c r="AO12" s="69" t="n"/>
      <c r="AP12" s="71" t="n"/>
      <c r="AQ12" s="71" t="n"/>
      <c r="AR12" s="71" t="n"/>
      <c r="AS12" s="71" t="n"/>
      <c r="AT12" s="273" t="n"/>
      <c r="AU12" s="69" t="n"/>
      <c r="AV12" s="71" t="n"/>
      <c r="AW12" s="71" t="n"/>
      <c r="AX12" s="71" t="n"/>
      <c r="AY12" s="71" t="n"/>
      <c r="AZ12" s="273" t="n"/>
      <c r="BA12" s="69" t="n"/>
      <c r="BB12" s="71" t="n"/>
      <c r="BC12" s="71" t="n"/>
      <c r="BD12" s="71" t="n"/>
      <c r="BE12" s="71" t="n"/>
      <c r="BF12" s="273" t="n"/>
      <c r="BG12" s="69" t="n"/>
      <c r="BH12" s="71" t="n"/>
      <c r="BI12" s="71" t="n"/>
      <c r="BJ12" s="71" t="n"/>
      <c r="BK12" s="71" t="n"/>
      <c r="BL12" s="273" t="n"/>
      <c r="BM12" s="69" t="n"/>
      <c r="BN12" s="71" t="n"/>
      <c r="BO12" s="71" t="n"/>
      <c r="BP12" s="71" t="n"/>
      <c r="BQ12" s="71" t="n"/>
      <c r="BR12" s="273" t="n"/>
      <c r="BS12" s="69" t="n"/>
      <c r="BT12" s="71" t="n">
        <v>2</v>
      </c>
      <c r="BU12" s="71" t="n"/>
      <c r="BV12" s="71" t="n"/>
      <c r="BW12" s="71" t="n">
        <v>3</v>
      </c>
      <c r="BX12" s="273" t="n"/>
      <c r="BZ12" s="274">
        <f>+E12+K12+Q12+W12+AC12+AI12+AO12+AU12+BA12+BG12+BM12+BS12</f>
        <v/>
      </c>
      <c r="CA12" s="275">
        <f>+F12+L12+R12+X12+AD12+AJ12+AP12+AV12+BB12+BH12+BN12+BT12</f>
        <v/>
      </c>
      <c r="CB12" s="275">
        <f>+G12+M12+S12+Y12+AE12+AK12+AQ12+AW12+BC12+BI12+BO12+BU12</f>
        <v/>
      </c>
      <c r="CC12" s="275">
        <f>+H12+N12+T12+Z12+AF12+AL12+AR12+AX12+BD12+BJ12+BP12+BV12</f>
        <v/>
      </c>
      <c r="CD12" s="276">
        <f>+I12+O12+U12+AA12+AG12+AM12+AS12+AY12+BE12+BK12+BQ12+BW12</f>
        <v/>
      </c>
      <c r="CE12" s="142">
        <f>+J12+P12+V12+AB12+AH12+AN12+AT12+AZ12+BF12+BL12+BR12+BX12</f>
        <v/>
      </c>
    </row>
    <row r="13">
      <c r="A13" s="71" t="n">
        <v>9</v>
      </c>
      <c r="B13" s="137" t="inlineStr">
        <is>
          <t>นาย</t>
        </is>
      </c>
      <c r="C13" s="74" t="inlineStr">
        <is>
          <t>ณรงค์</t>
        </is>
      </c>
      <c r="D13" s="107" t="inlineStr">
        <is>
          <t>เปี่ยมสิน</t>
        </is>
      </c>
      <c r="E13" s="69" t="n"/>
      <c r="F13" s="71" t="n">
        <v>2</v>
      </c>
      <c r="G13" s="71" t="n"/>
      <c r="H13" s="71" t="n"/>
      <c r="I13" s="71" t="n"/>
      <c r="J13" s="273" t="n"/>
      <c r="K13" s="69" t="n"/>
      <c r="L13" s="71" t="n"/>
      <c r="M13" s="71" t="n"/>
      <c r="N13" s="71" t="n"/>
      <c r="O13" s="71" t="n"/>
      <c r="P13" s="273" t="n"/>
      <c r="Q13" s="69" t="n"/>
      <c r="R13" s="71" t="n">
        <v>1</v>
      </c>
      <c r="S13" s="71" t="n"/>
      <c r="T13" s="71" t="n"/>
      <c r="U13" s="71" t="n"/>
      <c r="V13" s="273" t="n"/>
      <c r="W13" s="69" t="n"/>
      <c r="X13" s="71" t="n">
        <v>3</v>
      </c>
      <c r="Y13" s="71" t="n">
        <v>10</v>
      </c>
      <c r="Z13" s="71" t="n"/>
      <c r="AA13" s="71" t="n"/>
      <c r="AB13" s="273" t="n"/>
      <c r="AC13" s="69" t="n"/>
      <c r="AD13" s="71" t="n"/>
      <c r="AE13" s="71" t="n">
        <v>1</v>
      </c>
      <c r="AF13" s="71" t="n"/>
      <c r="AG13" s="71" t="n"/>
      <c r="AH13" s="273" t="n"/>
      <c r="AI13" s="69" t="n"/>
      <c r="AJ13" s="71" t="n"/>
      <c r="AK13" s="71" t="n"/>
      <c r="AL13" s="71" t="n"/>
      <c r="AM13" s="71" t="n">
        <v>2</v>
      </c>
      <c r="AN13" s="273" t="n"/>
      <c r="AO13" s="69" t="n"/>
      <c r="AP13" s="71" t="n"/>
      <c r="AQ13" s="71" t="n"/>
      <c r="AR13" s="71" t="n"/>
      <c r="AS13" s="71" t="n"/>
      <c r="AT13" s="273" t="n"/>
      <c r="AU13" s="69" t="n"/>
      <c r="AV13" s="71" t="n"/>
      <c r="AW13" s="71" t="n"/>
      <c r="AX13" s="71" t="n"/>
      <c r="AY13" s="71" t="n"/>
      <c r="AZ13" s="273" t="n"/>
      <c r="BA13" s="69" t="n"/>
      <c r="BB13" s="71" t="n"/>
      <c r="BC13" s="71" t="n"/>
      <c r="BD13" s="71" t="n"/>
      <c r="BE13" s="71" t="n"/>
      <c r="BF13" s="273" t="n"/>
      <c r="BG13" s="69" t="n"/>
      <c r="BH13" s="71" t="n"/>
      <c r="BI13" s="71" t="n"/>
      <c r="BJ13" s="71" t="n"/>
      <c r="BK13" s="71" t="n"/>
      <c r="BL13" s="273" t="n"/>
      <c r="BM13" s="69" t="n"/>
      <c r="BN13" s="71" t="n"/>
      <c r="BO13" s="71" t="n"/>
      <c r="BP13" s="71" t="n"/>
      <c r="BQ13" s="71" t="n">
        <v>1</v>
      </c>
      <c r="BR13" s="273" t="n"/>
      <c r="BS13" s="69" t="n"/>
      <c r="BT13" s="71" t="n"/>
      <c r="BU13" s="71" t="n"/>
      <c r="BV13" s="71" t="n"/>
      <c r="BW13" s="71" t="n">
        <v>3</v>
      </c>
      <c r="BX13" s="273" t="n"/>
      <c r="BZ13" s="274">
        <f>+E13+K13+Q13+W13+AC13+AI13+AO13+AU13+BA13+BG13+BM13+BS13</f>
        <v/>
      </c>
      <c r="CA13" s="275">
        <f>+F13+L13+R13+X13+AD13+AJ13+AP13+AV13+BB13+BH13+BN13+BT13</f>
        <v/>
      </c>
      <c r="CB13" s="275">
        <f>+G13+M13+S13+Y13+AE13+AK13+AQ13+AW13+BC13+BI13+BO13+BU13</f>
        <v/>
      </c>
      <c r="CC13" s="275">
        <f>+H13+N13+T13+Z13+AF13+AL13+AR13+AX13+BD13+BJ13+BP13+BV13</f>
        <v/>
      </c>
      <c r="CD13" s="276">
        <f>+I13+O13+U13+AA13+AG13+AM13+AS13+AY13+BE13+BK13+BQ13+BW13</f>
        <v/>
      </c>
      <c r="CE13" s="142">
        <f>+J13+P13+V13+AB13+AH13+AN13+AT13+AZ13+BF13+BL13+BR13+BX13</f>
        <v/>
      </c>
    </row>
    <row r="14">
      <c r="A14" s="71" t="n">
        <v>10</v>
      </c>
      <c r="B14" s="137" t="inlineStr">
        <is>
          <t>นาย</t>
        </is>
      </c>
      <c r="C14" s="74" t="inlineStr">
        <is>
          <t>ณวัศพงษ์</t>
        </is>
      </c>
      <c r="D14" s="107" t="inlineStr">
        <is>
          <t>สิทธิวิโรฒโภคิน</t>
        </is>
      </c>
      <c r="E14" s="69" t="n">
        <v>0.5</v>
      </c>
      <c r="F14" s="71" t="n"/>
      <c r="G14" s="71" t="n"/>
      <c r="H14" s="71" t="n"/>
      <c r="I14" s="71" t="n">
        <v>2</v>
      </c>
      <c r="J14" s="273" t="n"/>
      <c r="K14" s="69" t="n">
        <v>2</v>
      </c>
      <c r="L14" s="71" t="n"/>
      <c r="M14" s="71" t="n"/>
      <c r="N14" s="71" t="n"/>
      <c r="O14" s="71" t="n"/>
      <c r="P14" s="273" t="n"/>
      <c r="Q14" s="69" t="n"/>
      <c r="R14" s="71" t="n">
        <v>1</v>
      </c>
      <c r="S14" s="71" t="n"/>
      <c r="T14" s="71" t="n"/>
      <c r="U14" s="71" t="n"/>
      <c r="V14" s="273" t="n"/>
      <c r="W14" s="69" t="n">
        <v>1</v>
      </c>
      <c r="X14" s="71" t="n"/>
      <c r="Y14" s="71" t="n"/>
      <c r="Z14" s="71" t="n"/>
      <c r="AA14" s="71" t="n"/>
      <c r="AB14" s="273" t="n"/>
      <c r="AC14" s="69" t="n">
        <v>1</v>
      </c>
      <c r="AD14" s="71" t="n">
        <v>1.5</v>
      </c>
      <c r="AE14" s="71" t="n"/>
      <c r="AF14" s="71" t="n"/>
      <c r="AG14" s="71" t="n"/>
      <c r="AH14" s="273" t="n"/>
      <c r="AI14" s="69" t="n">
        <v>5</v>
      </c>
      <c r="AJ14" s="71" t="n">
        <v>0.5</v>
      </c>
      <c r="AK14" s="71" t="n"/>
      <c r="AL14" s="71" t="n"/>
      <c r="AM14" s="71" t="n"/>
      <c r="AN14" s="273" t="n"/>
      <c r="AO14" s="69" t="n">
        <v>1</v>
      </c>
      <c r="AP14" s="71" t="n"/>
      <c r="AQ14" s="71" t="n"/>
      <c r="AR14" s="71" t="n"/>
      <c r="AS14" s="71" t="n"/>
      <c r="AT14" s="273" t="n"/>
      <c r="AU14" s="69" t="n"/>
      <c r="AV14" s="71" t="n">
        <v>1</v>
      </c>
      <c r="AW14" s="71" t="n"/>
      <c r="AX14" s="71" t="n"/>
      <c r="AY14" s="71" t="n">
        <v>1</v>
      </c>
      <c r="AZ14" s="273" t="n"/>
      <c r="BA14" s="69" t="n"/>
      <c r="BB14" s="71" t="n"/>
      <c r="BC14" s="71" t="n"/>
      <c r="BD14" s="71" t="n"/>
      <c r="BE14" s="71" t="n"/>
      <c r="BF14" s="273" t="n"/>
      <c r="BG14" s="69" t="n"/>
      <c r="BH14" s="71" t="n"/>
      <c r="BI14" s="71" t="n"/>
      <c r="BJ14" s="71" t="n"/>
      <c r="BK14" s="71" t="n"/>
      <c r="BL14" s="273" t="n"/>
      <c r="BM14" s="69" t="n">
        <v>2.5</v>
      </c>
      <c r="BN14" s="71" t="n"/>
      <c r="BO14" s="71" t="n"/>
      <c r="BP14" s="71" t="n"/>
      <c r="BQ14" s="71" t="n">
        <v>1</v>
      </c>
      <c r="BR14" s="273" t="n"/>
      <c r="BS14" s="69" t="n">
        <v>2</v>
      </c>
      <c r="BT14" s="71" t="n">
        <v>2</v>
      </c>
      <c r="BU14" s="71" t="n"/>
      <c r="BV14" s="71" t="n"/>
      <c r="BW14" s="71" t="n">
        <v>2</v>
      </c>
      <c r="BX14" s="273" t="n"/>
      <c r="BZ14" s="274">
        <f>+E14+K14+Q14+W14+AC14+AI14+AO14+AU14+BA14+BG14+BM14+BS14</f>
        <v/>
      </c>
      <c r="CA14" s="275">
        <f>+F14+L14+R14+X14+AD14+AJ14+AP14+AV14+BB14+BH14+BN14+BT14</f>
        <v/>
      </c>
      <c r="CB14" s="275">
        <f>+G14+M14+S14+Y14+AE14+AK14+AQ14+AW14+BC14+BI14+BO14+BU14</f>
        <v/>
      </c>
      <c r="CC14" s="275">
        <f>+H14+N14+T14+Z14+AF14+AL14+AR14+AX14+BD14+BJ14+BP14+BV14</f>
        <v/>
      </c>
      <c r="CD14" s="276">
        <f>+I14+O14+U14+AA14+AG14+AM14+AS14+AY14+BE14+BK14+BQ14+BW14</f>
        <v/>
      </c>
      <c r="CE14" s="142">
        <f>+J14+P14+V14+AB14+AH14+AN14+AT14+AZ14+BF14+BL14+BR14+BX14</f>
        <v/>
      </c>
    </row>
    <row r="15">
      <c r="A15" s="71" t="n">
        <v>11</v>
      </c>
      <c r="B15" s="137" t="inlineStr">
        <is>
          <t>นาย</t>
        </is>
      </c>
      <c r="C15" s="74" t="inlineStr">
        <is>
          <t>ณัฐวุฒิ</t>
        </is>
      </c>
      <c r="D15" s="107" t="inlineStr">
        <is>
          <t>กุลแจ</t>
        </is>
      </c>
      <c r="E15" s="69" t="n"/>
      <c r="F15" s="71" t="n">
        <v>1</v>
      </c>
      <c r="G15" s="71" t="n"/>
      <c r="H15" s="71" t="n"/>
      <c r="I15" s="71" t="n"/>
      <c r="J15" s="273" t="n">
        <v>0.0006944444444444445</v>
      </c>
      <c r="K15" s="69" t="n"/>
      <c r="L15" s="71" t="n">
        <v>1</v>
      </c>
      <c r="M15" s="71" t="n"/>
      <c r="N15" s="71" t="n"/>
      <c r="O15" s="71" t="n"/>
      <c r="P15" s="273" t="n">
        <v>0.0006944444444444445</v>
      </c>
      <c r="Q15" s="69" t="n"/>
      <c r="R15" s="71" t="n"/>
      <c r="S15" s="71" t="n"/>
      <c r="T15" s="71" t="n"/>
      <c r="U15" s="71" t="n"/>
      <c r="V15" s="273" t="n">
        <v>0.001388888888888889</v>
      </c>
      <c r="W15" s="69" t="n"/>
      <c r="X15" s="71" t="n">
        <v>0.5</v>
      </c>
      <c r="Y15" s="71" t="n"/>
      <c r="Z15" s="71" t="n">
        <v>0.5</v>
      </c>
      <c r="AA15" s="71" t="n">
        <v>1</v>
      </c>
      <c r="AB15" s="273" t="n">
        <v>0.002777777777777778</v>
      </c>
      <c r="AC15" s="69" t="n"/>
      <c r="AD15" s="71" t="n">
        <v>0.5</v>
      </c>
      <c r="AE15" s="71" t="n"/>
      <c r="AF15" s="71" t="n">
        <v>1</v>
      </c>
      <c r="AG15" s="71" t="n"/>
      <c r="AH15" s="273" t="n">
        <v>0.003472222222222222</v>
      </c>
      <c r="AI15" s="69" t="n"/>
      <c r="AJ15" s="71" t="n">
        <v>3</v>
      </c>
      <c r="AK15" s="71" t="n">
        <v>3</v>
      </c>
      <c r="AL15" s="71" t="n">
        <v>1</v>
      </c>
      <c r="AM15" s="71" t="n"/>
      <c r="AN15" s="273" t="n"/>
      <c r="AO15" s="69" t="n"/>
      <c r="AP15" s="71" t="n"/>
      <c r="AQ15" s="71" t="n"/>
      <c r="AR15" s="71" t="n">
        <v>1</v>
      </c>
      <c r="AS15" s="71" t="n">
        <v>1</v>
      </c>
      <c r="AT15" s="273" t="n"/>
      <c r="AU15" s="69" t="n"/>
      <c r="AV15" s="71" t="n"/>
      <c r="AW15" s="71" t="n"/>
      <c r="AX15" s="71" t="n"/>
      <c r="AY15" s="71" t="n">
        <v>1</v>
      </c>
      <c r="AZ15" s="273" t="n"/>
      <c r="BA15" s="69" t="n"/>
      <c r="BB15" s="71" t="n"/>
      <c r="BC15" s="71" t="n"/>
      <c r="BD15" s="71" t="n">
        <v>1.5</v>
      </c>
      <c r="BE15" s="71" t="n"/>
      <c r="BF15" s="273" t="n"/>
      <c r="BG15" s="69" t="n"/>
      <c r="BH15" s="71" t="n"/>
      <c r="BI15" s="71" t="n">
        <v>1</v>
      </c>
      <c r="BJ15" s="71" t="n"/>
      <c r="BK15" s="71" t="n"/>
      <c r="BL15" s="273" t="n">
        <v>0.002083333333333333</v>
      </c>
      <c r="BM15" s="69" t="n">
        <v>3</v>
      </c>
      <c r="BN15" s="71" t="n"/>
      <c r="BO15" s="71" t="n">
        <v>0.5</v>
      </c>
      <c r="BP15" s="71" t="n"/>
      <c r="BQ15" s="71" t="n"/>
      <c r="BR15" s="273" t="n">
        <v>0.0006944444444444445</v>
      </c>
      <c r="BS15" s="69" t="n">
        <v>1</v>
      </c>
      <c r="BT15" s="71" t="n"/>
      <c r="BU15" s="71" t="n"/>
      <c r="BV15" s="71" t="n"/>
      <c r="BW15" s="71" t="n">
        <v>3</v>
      </c>
      <c r="BX15" s="273" t="n"/>
      <c r="BZ15" s="274">
        <f>+E15+K15+Q15+W15+AC15+AI15+AO15+AU15+BA15+BG15+BM15+BS15</f>
        <v/>
      </c>
      <c r="CA15" s="275">
        <f>+F15+L15+R15+X15+AD15+AJ15+AP15+AV15+BB15+BH15+BN15+BT15</f>
        <v/>
      </c>
      <c r="CB15" s="275">
        <f>+G15+M15+S15+Y15+AE15+AK15+AQ15+AW15+BC15+BI15+BO15+BU15</f>
        <v/>
      </c>
      <c r="CC15" s="275">
        <f>+H15+N15+T15+Z15+AF15+AL15+AR15+AX15+BD15+BJ15+BP15+BV15</f>
        <v/>
      </c>
      <c r="CD15" s="276">
        <f>+I15+O15+U15+AA15+AG15+AM15+AS15+AY15+BE15+BK15+BQ15+BW15</f>
        <v/>
      </c>
      <c r="CE15" s="142">
        <f>+J15+P15+V15+AB15+AH15+AN15+AT15+AZ15+BF15+BL15+BR15+BX15</f>
        <v/>
      </c>
    </row>
    <row r="16">
      <c r="A16" s="71" t="n">
        <v>12</v>
      </c>
      <c r="B16" s="137" t="inlineStr">
        <is>
          <t>นาย</t>
        </is>
      </c>
      <c r="C16" s="74" t="inlineStr">
        <is>
          <t>ดนัย</t>
        </is>
      </c>
      <c r="D16" s="107" t="inlineStr">
        <is>
          <t>ทองชื่น</t>
        </is>
      </c>
      <c r="E16" s="69" t="n"/>
      <c r="F16" s="71" t="n">
        <v>1</v>
      </c>
      <c r="G16" s="71" t="n"/>
      <c r="H16" s="71" t="n"/>
      <c r="I16" s="71" t="n"/>
      <c r="J16" s="273" t="n"/>
      <c r="K16" s="69" t="n"/>
      <c r="L16" s="71" t="n"/>
      <c r="M16" s="71" t="n"/>
      <c r="N16" s="71" t="n"/>
      <c r="O16" s="71" t="n">
        <v>2</v>
      </c>
      <c r="P16" s="273" t="n"/>
      <c r="Q16" s="69" t="n"/>
      <c r="R16" s="71" t="n"/>
      <c r="S16" s="71" t="n"/>
      <c r="T16" s="71" t="n"/>
      <c r="U16" s="71" t="n">
        <v>1</v>
      </c>
      <c r="V16" s="273" t="n"/>
      <c r="W16" s="69" t="n"/>
      <c r="X16" s="71" t="n">
        <v>1</v>
      </c>
      <c r="Y16" s="71" t="n"/>
      <c r="Z16" s="71" t="n"/>
      <c r="AA16" s="71" t="n"/>
      <c r="AB16" s="273" t="n"/>
      <c r="AC16" s="69" t="n">
        <v>0.5</v>
      </c>
      <c r="AD16" s="71" t="n"/>
      <c r="AE16" s="71" t="n"/>
      <c r="AF16" s="71" t="n"/>
      <c r="AG16" s="71" t="n"/>
      <c r="AH16" s="273" t="n"/>
      <c r="AI16" s="69" t="n">
        <v>5</v>
      </c>
      <c r="AJ16" s="71" t="n"/>
      <c r="AK16" s="71" t="n"/>
      <c r="AL16" s="71" t="n"/>
      <c r="AM16" s="71" t="n"/>
      <c r="AN16" s="273" t="n"/>
      <c r="AO16" s="69" t="n">
        <v>2</v>
      </c>
      <c r="AP16" s="71" t="n"/>
      <c r="AQ16" s="71" t="n"/>
      <c r="AR16" s="71" t="n"/>
      <c r="AS16" s="71" t="n"/>
      <c r="AT16" s="273" t="n"/>
      <c r="AU16" s="69" t="n">
        <v>2</v>
      </c>
      <c r="AV16" s="71" t="n"/>
      <c r="AW16" s="71" t="n"/>
      <c r="AX16" s="71" t="n"/>
      <c r="AY16" s="71" t="n"/>
      <c r="AZ16" s="273" t="n"/>
      <c r="BA16" s="69" t="n"/>
      <c r="BB16" s="71" t="n"/>
      <c r="BC16" s="71" t="n"/>
      <c r="BD16" s="71" t="n"/>
      <c r="BE16" s="71" t="n"/>
      <c r="BF16" s="273" t="n"/>
      <c r="BG16" s="69" t="n"/>
      <c r="BH16" s="71" t="n"/>
      <c r="BI16" s="71" t="n"/>
      <c r="BJ16" s="71" t="n"/>
      <c r="BK16" s="71" t="n"/>
      <c r="BL16" s="273" t="n"/>
      <c r="BM16" s="69" t="n">
        <v>5.5</v>
      </c>
      <c r="BN16" s="71" t="n">
        <v>1</v>
      </c>
      <c r="BO16" s="71" t="n"/>
      <c r="BP16" s="71" t="n"/>
      <c r="BQ16" s="71" t="n"/>
      <c r="BR16" s="273" t="n"/>
      <c r="BS16" s="69" t="n"/>
      <c r="BT16" s="71" t="n"/>
      <c r="BU16" s="71" t="n"/>
      <c r="BV16" s="71" t="n"/>
      <c r="BW16" s="71" t="n">
        <v>3</v>
      </c>
      <c r="BX16" s="273" t="n"/>
      <c r="BZ16" s="274">
        <f>+E16+K16+Q16+W16+AC16+AI16+AO16+AU16+BA16+BG16+BM16+BS16</f>
        <v/>
      </c>
      <c r="CA16" s="275">
        <f>+F16+L16+R16+X16+AD16+AJ16+AP16+AV16+BB16+BH16+BN16+BT16</f>
        <v/>
      </c>
      <c r="CB16" s="275">
        <f>+G16+M16+S16+Y16+AE16+AK16+AQ16+AW16+BC16+BI16+BO16+BU16</f>
        <v/>
      </c>
      <c r="CC16" s="275">
        <f>+H16+N16+T16+Z16+AF16+AL16+AR16+AX16+BD16+BJ16+BP16+BV16</f>
        <v/>
      </c>
      <c r="CD16" s="276">
        <f>+I16+O16+U16+AA16+AG16+AM16+AS16+AY16+BE16+BK16+BQ16+BW16</f>
        <v/>
      </c>
      <c r="CE16" s="142">
        <f>+J16+P16+V16+AB16+AH16+AN16+AT16+AZ16+BF16+BL16+BR16+BX16</f>
        <v/>
      </c>
    </row>
    <row r="17">
      <c r="A17" s="71" t="n">
        <v>13</v>
      </c>
      <c r="B17" s="137" t="inlineStr">
        <is>
          <t>นาย</t>
        </is>
      </c>
      <c r="C17" s="74" t="inlineStr">
        <is>
          <t>ติ่ง</t>
        </is>
      </c>
      <c r="D17" s="107" t="inlineStr">
        <is>
          <t>นาคสังข์</t>
        </is>
      </c>
      <c r="E17" s="69" t="n"/>
      <c r="F17" s="71" t="n">
        <v>2.5</v>
      </c>
      <c r="G17" s="71" t="n"/>
      <c r="H17" s="71" t="n"/>
      <c r="I17" s="71" t="n">
        <v>1</v>
      </c>
      <c r="J17" s="273" t="n"/>
      <c r="K17" s="69" t="n"/>
      <c r="L17" s="71" t="n">
        <v>1</v>
      </c>
      <c r="M17" s="71" t="n"/>
      <c r="N17" s="71" t="n"/>
      <c r="O17" s="71" t="n"/>
      <c r="P17" s="273" t="n"/>
      <c r="Q17" s="69" t="n"/>
      <c r="R17" s="71" t="n"/>
      <c r="S17" s="71" t="n"/>
      <c r="T17" s="71" t="n"/>
      <c r="U17" s="71" t="n"/>
      <c r="V17" s="273" t="n"/>
      <c r="W17" s="69" t="n"/>
      <c r="X17" s="71" t="n"/>
      <c r="Y17" s="71" t="n"/>
      <c r="Z17" s="71" t="n"/>
      <c r="AA17" s="71" t="n">
        <v>1</v>
      </c>
      <c r="AB17" s="273" t="n"/>
      <c r="AC17" s="69" t="n"/>
      <c r="AD17" s="71" t="n"/>
      <c r="AE17" s="71" t="n"/>
      <c r="AF17" s="71" t="n"/>
      <c r="AG17" s="71" t="n"/>
      <c r="AH17" s="273" t="n"/>
      <c r="AI17" s="69" t="n">
        <v>0.5</v>
      </c>
      <c r="AJ17" s="71" t="n">
        <v>1.5</v>
      </c>
      <c r="AK17" s="71" t="n"/>
      <c r="AL17" s="71" t="n"/>
      <c r="AM17" s="71" t="n">
        <v>1</v>
      </c>
      <c r="AN17" s="273" t="n"/>
      <c r="AO17" s="69" t="n">
        <v>3</v>
      </c>
      <c r="AP17" s="71" t="n">
        <v>1</v>
      </c>
      <c r="AQ17" s="71" t="n"/>
      <c r="AR17" s="71" t="n"/>
      <c r="AS17" s="71" t="n">
        <v>1</v>
      </c>
      <c r="AT17" s="273" t="n"/>
      <c r="AU17" s="69" t="n">
        <v>1</v>
      </c>
      <c r="AV17" s="71" t="n"/>
      <c r="AW17" s="71" t="n"/>
      <c r="AX17" s="71" t="n"/>
      <c r="AY17" s="71" t="n"/>
      <c r="AZ17" s="273" t="n"/>
      <c r="BA17" s="69" t="n">
        <v>1</v>
      </c>
      <c r="BB17" s="71" t="n"/>
      <c r="BC17" s="71" t="n"/>
      <c r="BD17" s="71" t="n">
        <v>1</v>
      </c>
      <c r="BE17" s="71" t="n"/>
      <c r="BF17" s="273" t="n"/>
      <c r="BG17" s="69" t="n">
        <v>0.5</v>
      </c>
      <c r="BH17" s="71" t="n"/>
      <c r="BI17" s="71" t="n"/>
      <c r="BJ17" s="71" t="n"/>
      <c r="BK17" s="71" t="n">
        <v>1</v>
      </c>
      <c r="BL17" s="273" t="n"/>
      <c r="BM17" s="69" t="n">
        <v>1</v>
      </c>
      <c r="BN17" s="71" t="n"/>
      <c r="BO17" s="71" t="n"/>
      <c r="BP17" s="71" t="n"/>
      <c r="BQ17" s="71" t="n"/>
      <c r="BR17" s="273" t="n"/>
      <c r="BS17" s="69" t="n"/>
      <c r="BT17" s="71" t="n"/>
      <c r="BU17" s="71" t="n"/>
      <c r="BV17" s="71" t="n"/>
      <c r="BW17" s="71" t="n">
        <v>1</v>
      </c>
      <c r="BX17" s="273" t="n"/>
      <c r="BZ17" s="274">
        <f>+E17+K17+Q17+W17+AC17+AI17+AO17+AU17+BA17+BG17+BM17+BS17</f>
        <v/>
      </c>
      <c r="CA17" s="275">
        <f>+F17+L17+R17+X17+AD17+AJ17+AP17+AV17+BB17+BH17+BN17+BT17</f>
        <v/>
      </c>
      <c r="CB17" s="275">
        <f>+G17+M17+S17+Y17+AE17+AK17+AQ17+AW17+BC17+BI17+BO17+BU17</f>
        <v/>
      </c>
      <c r="CC17" s="275">
        <f>+H17+N17+T17+Z17+AF17+AL17+AR17+AX17+BD17+BJ17+BP17+BV17</f>
        <v/>
      </c>
      <c r="CD17" s="276">
        <f>+I17+O17+U17+AA17+AG17+AM17+AS17+AY17+BE17+BK17+BQ17+BW17</f>
        <v/>
      </c>
      <c r="CE17" s="142">
        <f>+J17+P17+V17+AB17+AH17+AN17+AT17+AZ17+BF17+BL17+BR17+BX17</f>
        <v/>
      </c>
    </row>
    <row r="18" ht="23.25" customHeight="1">
      <c r="A18" s="71" t="n">
        <v>14</v>
      </c>
      <c r="B18" s="137" t="inlineStr">
        <is>
          <t>นาย</t>
        </is>
      </c>
      <c r="C18" s="64" t="inlineStr">
        <is>
          <t>ทิม</t>
        </is>
      </c>
      <c r="D18" s="14" t="inlineStr">
        <is>
          <t>บุญมาทัน</t>
        </is>
      </c>
      <c r="E18" s="69" t="n">
        <v>2</v>
      </c>
      <c r="F18" s="71" t="n">
        <v>3</v>
      </c>
      <c r="G18" s="71" t="n"/>
      <c r="H18" s="71" t="n"/>
      <c r="I18" s="71" t="n">
        <v>1</v>
      </c>
      <c r="J18" s="273" t="n"/>
      <c r="K18" s="69" t="n">
        <v>7</v>
      </c>
      <c r="L18" s="71" t="n">
        <v>1</v>
      </c>
      <c r="M18" s="71" t="n"/>
      <c r="N18" s="71" t="n"/>
      <c r="O18" s="71" t="n"/>
      <c r="P18" s="273" t="n"/>
      <c r="Q18" s="69" t="n">
        <v>2</v>
      </c>
      <c r="R18" s="71" t="n">
        <v>2</v>
      </c>
      <c r="S18" s="71" t="n"/>
      <c r="T18" s="71" t="n">
        <v>1</v>
      </c>
      <c r="U18" s="71" t="n"/>
      <c r="V18" s="273" t="n"/>
      <c r="W18" s="69" t="n">
        <v>3</v>
      </c>
      <c r="X18" s="71" t="n"/>
      <c r="Y18" s="71" t="n"/>
      <c r="Z18" s="71" t="n">
        <v>2</v>
      </c>
      <c r="AA18" s="71" t="n"/>
      <c r="AB18" s="273" t="n"/>
      <c r="AC18" s="69" t="n"/>
      <c r="AD18" s="71" t="n"/>
      <c r="AE18" s="71" t="n"/>
      <c r="AF18" s="71" t="n">
        <v>1</v>
      </c>
      <c r="AG18" s="71" t="n"/>
      <c r="AH18" s="273" t="n"/>
      <c r="AI18" s="69" t="n">
        <v>3</v>
      </c>
      <c r="AJ18" s="71" t="n"/>
      <c r="AK18" s="71" t="n"/>
      <c r="AL18" s="71" t="n">
        <v>1</v>
      </c>
      <c r="AM18" s="71" t="n"/>
      <c r="AN18" s="273" t="n"/>
      <c r="AO18" s="69" t="n">
        <v>3</v>
      </c>
      <c r="AP18" s="71" t="n"/>
      <c r="AQ18" s="71" t="n"/>
      <c r="AR18" s="71" t="n"/>
      <c r="AS18" s="71" t="n"/>
      <c r="AT18" s="273" t="n"/>
      <c r="AU18" s="69" t="n">
        <v>5</v>
      </c>
      <c r="AV18" s="71" t="n"/>
      <c r="AW18" s="71" t="n"/>
      <c r="AX18" s="71" t="n"/>
      <c r="AY18" s="71" t="n"/>
      <c r="AZ18" s="273" t="n"/>
      <c r="BA18" s="69" t="n"/>
      <c r="BB18" s="71" t="n"/>
      <c r="BC18" s="71" t="n"/>
      <c r="BD18" s="71" t="n"/>
      <c r="BE18" s="71" t="n"/>
      <c r="BF18" s="273" t="n"/>
      <c r="BG18" s="69" t="n">
        <v>2</v>
      </c>
      <c r="BH18" s="71" t="n"/>
      <c r="BI18" s="71" t="n"/>
      <c r="BJ18" s="71" t="n"/>
      <c r="BK18" s="71" t="n"/>
      <c r="BL18" s="273" t="n"/>
      <c r="BM18" s="69" t="n"/>
      <c r="BN18" s="71" t="n"/>
      <c r="BO18" s="71" t="n"/>
      <c r="BP18" s="71" t="n"/>
      <c r="BQ18" s="71" t="n"/>
      <c r="BR18" s="273" t="n"/>
      <c r="BS18" s="69" t="n">
        <v>2</v>
      </c>
      <c r="BT18" s="71" t="n"/>
      <c r="BU18" s="71" t="n"/>
      <c r="BV18" s="71" t="n">
        <v>1</v>
      </c>
      <c r="BW18" s="71" t="n">
        <v>4</v>
      </c>
      <c r="BX18" s="273" t="n"/>
      <c r="BZ18" s="274">
        <f>+E18+K18+Q18+W18+AC18+AI18+AO18+AU18+BA18+BG18+BM18+BS18</f>
        <v/>
      </c>
      <c r="CA18" s="275">
        <f>+F18+L18+R18+X18+AD18+AJ18+AP18+AV18+BB18+BH18+BN18+BT18</f>
        <v/>
      </c>
      <c r="CB18" s="275">
        <f>+G18+M18+S18+Y18+AE18+AK18+AQ18+AW18+BC18+BI18+BO18+BU18</f>
        <v/>
      </c>
      <c r="CC18" s="275">
        <f>+H18+N18+T18+Z18+AF18+AL18+AR18+AX18+BD18+BJ18+BP18+BV18</f>
        <v/>
      </c>
      <c r="CD18" s="276">
        <f>+I18+O18+U18+AA18+AG18+AM18+AS18+AY18+BE18+BK18+BQ18+BW18</f>
        <v/>
      </c>
      <c r="CE18" s="142">
        <f>+J18+P18+V18+AB18+AH18+AN18+AT18+AZ18+BF18+BL18+BR18+BX18</f>
        <v/>
      </c>
      <c r="CF18" s="215" t="n"/>
    </row>
    <row r="19">
      <c r="A19" s="71" t="n">
        <v>15</v>
      </c>
      <c r="B19" s="137" t="inlineStr">
        <is>
          <t>นาย</t>
        </is>
      </c>
      <c r="C19" s="74" t="inlineStr">
        <is>
          <t>ธงชัย</t>
        </is>
      </c>
      <c r="D19" s="107" t="inlineStr">
        <is>
          <t>โพธิ์หิรัญ</t>
        </is>
      </c>
      <c r="E19" s="69" t="n"/>
      <c r="F19" s="71" t="n"/>
      <c r="G19" s="71" t="n"/>
      <c r="H19" s="71" t="n"/>
      <c r="I19" s="71" t="n">
        <v>1</v>
      </c>
      <c r="J19" s="273" t="n"/>
      <c r="K19" s="69" t="n"/>
      <c r="L19" s="71" t="n"/>
      <c r="M19" s="71" t="n"/>
      <c r="N19" s="71" t="n"/>
      <c r="O19" s="71" t="n"/>
      <c r="P19" s="273" t="n"/>
      <c r="Q19" s="69" t="n"/>
      <c r="R19" s="71" t="n"/>
      <c r="S19" s="71" t="n"/>
      <c r="T19" s="71" t="n"/>
      <c r="U19" s="71" t="n"/>
      <c r="V19" s="273" t="n"/>
      <c r="W19" s="69" t="n"/>
      <c r="X19" s="71" t="n"/>
      <c r="Y19" s="71" t="n"/>
      <c r="Z19" s="71" t="n"/>
      <c r="AA19" s="71" t="n"/>
      <c r="AB19" s="273" t="n"/>
      <c r="AC19" s="69" t="n"/>
      <c r="AD19" s="71" t="n"/>
      <c r="AE19" s="71" t="n"/>
      <c r="AF19" s="71" t="n"/>
      <c r="AG19" s="71" t="n"/>
      <c r="AH19" s="273" t="n"/>
      <c r="AI19" s="69" t="n"/>
      <c r="AJ19" s="71" t="n">
        <v>1</v>
      </c>
      <c r="AK19" s="71" t="n"/>
      <c r="AL19" s="71" t="n"/>
      <c r="AM19" s="71" t="n"/>
      <c r="AN19" s="273" t="n"/>
      <c r="AO19" s="69" t="n"/>
      <c r="AP19" s="71" t="n"/>
      <c r="AQ19" s="71" t="n"/>
      <c r="AR19" s="71" t="n"/>
      <c r="AS19" s="71" t="n"/>
      <c r="AT19" s="273" t="n"/>
      <c r="AU19" s="69" t="n"/>
      <c r="AV19" s="71" t="n">
        <v>0.5</v>
      </c>
      <c r="AW19" s="71" t="n"/>
      <c r="AX19" s="71" t="n"/>
      <c r="AY19" s="71" t="n">
        <v>1</v>
      </c>
      <c r="AZ19" s="273" t="n"/>
      <c r="BA19" s="69" t="n"/>
      <c r="BB19" s="71" t="n">
        <v>1</v>
      </c>
      <c r="BC19" s="71" t="n"/>
      <c r="BD19" s="71" t="n"/>
      <c r="BE19" s="71" t="n"/>
      <c r="BF19" s="273" t="n">
        <v>0.003472222222222222</v>
      </c>
      <c r="BG19" s="69" t="n"/>
      <c r="BH19" s="71" t="n"/>
      <c r="BI19" s="71" t="n"/>
      <c r="BJ19" s="71" t="n"/>
      <c r="BK19" s="71" t="n">
        <v>1</v>
      </c>
      <c r="BL19" s="273" t="n"/>
      <c r="BM19" s="69" t="n"/>
      <c r="BN19" s="71" t="n"/>
      <c r="BO19" s="71" t="n"/>
      <c r="BP19" s="71" t="n"/>
      <c r="BQ19" s="71" t="n">
        <v>1</v>
      </c>
      <c r="BR19" s="273" t="n"/>
      <c r="BS19" s="69" t="n"/>
      <c r="BT19" s="71" t="n"/>
      <c r="BU19" s="71" t="n"/>
      <c r="BV19" s="71" t="n"/>
      <c r="BW19" s="71" t="n">
        <v>2</v>
      </c>
      <c r="BX19" s="273" t="n"/>
      <c r="BZ19" s="274">
        <f>+E19+K19+Q19+W19+AC19+AI19+AO19+AU19+BA19+BG19+BM19+BS19</f>
        <v/>
      </c>
      <c r="CA19" s="275">
        <f>+F19+L19+R19+X19+AD19+AJ19+AP19+AV19+BB19+BH19+BN19+BT19</f>
        <v/>
      </c>
      <c r="CB19" s="275">
        <f>+G19+M19+S19+Y19+AE19+AK19+AQ19+AW19+BC19+BI19+BO19+BU19</f>
        <v/>
      </c>
      <c r="CC19" s="275">
        <f>+H19+N19+T19+Z19+AF19+AL19+AR19+AX19+BD19+BJ19+BP19+BV19</f>
        <v/>
      </c>
      <c r="CD19" s="276">
        <f>+I19+O19+U19+AA19+AG19+AM19+AS19+AY19+BE19+BK19+BQ19+BW19</f>
        <v/>
      </c>
      <c r="CE19" s="142">
        <f>+J19+P19+V19+AB19+AH19+AN19+AT19+AZ19+BF19+BL19+BR19+BX19</f>
        <v/>
      </c>
    </row>
    <row r="20">
      <c r="A20" s="71" t="n">
        <v>16</v>
      </c>
      <c r="B20" s="137" t="inlineStr">
        <is>
          <t>นาย</t>
        </is>
      </c>
      <c r="C20" s="74" t="inlineStr">
        <is>
          <t>ธนงค์พร</t>
        </is>
      </c>
      <c r="D20" s="107" t="inlineStr">
        <is>
          <t>อ่อนคำ</t>
        </is>
      </c>
      <c r="E20" s="69" t="n"/>
      <c r="F20" s="71" t="n">
        <v>1</v>
      </c>
      <c r="G20" s="71" t="n"/>
      <c r="H20" s="71" t="n"/>
      <c r="I20" s="71" t="n"/>
      <c r="J20" s="273" t="n"/>
      <c r="K20" s="69" t="n"/>
      <c r="L20" s="71" t="n">
        <v>1</v>
      </c>
      <c r="M20" s="71" t="n"/>
      <c r="N20" s="71" t="n"/>
      <c r="O20" s="71" t="n"/>
      <c r="P20" s="273" t="n"/>
      <c r="Q20" s="69" t="n"/>
      <c r="R20" s="71" t="n">
        <v>0.5</v>
      </c>
      <c r="S20" s="71" t="n"/>
      <c r="T20" s="71" t="n"/>
      <c r="U20" s="71" t="n"/>
      <c r="V20" s="273" t="n"/>
      <c r="W20" s="69" t="n"/>
      <c r="X20" s="71" t="n"/>
      <c r="Y20" s="71" t="n"/>
      <c r="Z20" s="71" t="n"/>
      <c r="AA20" s="71" t="n">
        <v>2</v>
      </c>
      <c r="AB20" s="273" t="n"/>
      <c r="AC20" s="69" t="n"/>
      <c r="AD20" s="71" t="n"/>
      <c r="AE20" s="71" t="n"/>
      <c r="AF20" s="71" t="n"/>
      <c r="AG20" s="71" t="n">
        <v>2</v>
      </c>
      <c r="AH20" s="273" t="n"/>
      <c r="AI20" s="69" t="n"/>
      <c r="AJ20" s="71" t="n"/>
      <c r="AK20" s="71" t="n"/>
      <c r="AL20" s="71" t="n"/>
      <c r="AM20" s="71" t="n"/>
      <c r="AN20" s="273" t="n"/>
      <c r="AO20" s="69" t="n"/>
      <c r="AP20" s="71" t="n">
        <v>0.5</v>
      </c>
      <c r="AQ20" s="71" t="n"/>
      <c r="AR20" s="71" t="n"/>
      <c r="AS20" s="71" t="n"/>
      <c r="AT20" s="273" t="n"/>
      <c r="AU20" s="69" t="n"/>
      <c r="AV20" s="71" t="n"/>
      <c r="AW20" s="71" t="n"/>
      <c r="AX20" s="71" t="n"/>
      <c r="AY20" s="71" t="n"/>
      <c r="AZ20" s="273" t="n"/>
      <c r="BA20" s="69" t="n"/>
      <c r="BB20" s="71" t="n"/>
      <c r="BC20" s="71" t="n"/>
      <c r="BD20" s="71" t="n"/>
      <c r="BE20" s="71" t="n"/>
      <c r="BF20" s="273" t="n"/>
      <c r="BG20" s="69" t="n"/>
      <c r="BH20" s="71" t="n"/>
      <c r="BI20" s="71" t="n"/>
      <c r="BJ20" s="71" t="n"/>
      <c r="BK20" s="71" t="n"/>
      <c r="BL20" s="273" t="n"/>
      <c r="BM20" s="69" t="n">
        <v>1</v>
      </c>
      <c r="BN20" s="71" t="n">
        <v>1</v>
      </c>
      <c r="BO20" s="71" t="n"/>
      <c r="BP20" s="71" t="n"/>
      <c r="BQ20" s="71" t="n"/>
      <c r="BR20" s="273" t="n"/>
      <c r="BS20" s="69" t="n">
        <v>3.5</v>
      </c>
      <c r="BT20" s="71" t="n"/>
      <c r="BU20" s="71" t="n"/>
      <c r="BV20" s="71" t="n"/>
      <c r="BW20" s="71" t="n">
        <v>2</v>
      </c>
      <c r="BX20" s="273" t="n"/>
      <c r="BZ20" s="274">
        <f>+E20+K20+Q20+W20+AC20+AI20+AO20+AU20+BA20+BG20+BM20+BS20</f>
        <v/>
      </c>
      <c r="CA20" s="275">
        <f>+F20+L20+R20+X20+AD20+AJ20+AP20+AV20+BB20+BH20+BN20+BT20</f>
        <v/>
      </c>
      <c r="CB20" s="275">
        <f>+G20+M20+S20+Y20+AE20+AK20+AQ20+AW20+BC20+BI20+BO20+BU20</f>
        <v/>
      </c>
      <c r="CC20" s="275">
        <f>+H20+N20+T20+Z20+AF20+AL20+AR20+AX20+BD20+BJ20+BP20+BV20</f>
        <v/>
      </c>
      <c r="CD20" s="276">
        <f>+I20+O20+U20+AA20+AG20+AM20+AS20+AY20+BE20+BK20+BQ20+BW20</f>
        <v/>
      </c>
      <c r="CE20" s="142">
        <f>+J20+P20+V20+AB20+AH20+AN20+AT20+AZ20+BF20+BL20+BR20+BX20</f>
        <v/>
      </c>
    </row>
    <row r="21">
      <c r="A21" s="71" t="n">
        <v>17</v>
      </c>
      <c r="B21" s="137" t="inlineStr">
        <is>
          <t>นาย</t>
        </is>
      </c>
      <c r="C21" s="74" t="inlineStr">
        <is>
          <t>นิรุต</t>
        </is>
      </c>
      <c r="D21" s="107" t="inlineStr">
        <is>
          <t>นาคสังข์</t>
        </is>
      </c>
      <c r="E21" s="69" t="n">
        <v>3</v>
      </c>
      <c r="F21" s="71" t="n"/>
      <c r="G21" s="71" t="n"/>
      <c r="H21" s="71" t="n"/>
      <c r="I21" s="71" t="n">
        <v>1</v>
      </c>
      <c r="J21" s="273" t="n"/>
      <c r="K21" s="69" t="n">
        <v>1.5</v>
      </c>
      <c r="L21" s="71" t="n">
        <v>1</v>
      </c>
      <c r="M21" s="71" t="n"/>
      <c r="N21" s="71" t="n"/>
      <c r="O21" s="71" t="n"/>
      <c r="P21" s="273" t="n"/>
      <c r="Q21" s="69" t="n"/>
      <c r="R21" s="71" t="n"/>
      <c r="S21" s="71" t="n"/>
      <c r="T21" s="71" t="n"/>
      <c r="U21" s="71" t="n"/>
      <c r="V21" s="273" t="n"/>
      <c r="W21" s="69" t="n">
        <v>2</v>
      </c>
      <c r="X21" s="71" t="n"/>
      <c r="Y21" s="71" t="n"/>
      <c r="Z21" s="71" t="n"/>
      <c r="AA21" s="71" t="n"/>
      <c r="AB21" s="273" t="n"/>
      <c r="AC21" s="69" t="n">
        <v>1</v>
      </c>
      <c r="AD21" s="71" t="n"/>
      <c r="AE21" s="71" t="n"/>
      <c r="AF21" s="71" t="n"/>
      <c r="AG21" s="71" t="n">
        <v>1</v>
      </c>
      <c r="AH21" s="273" t="n"/>
      <c r="AI21" s="69" t="n">
        <v>6</v>
      </c>
      <c r="AJ21" s="71" t="n">
        <v>1</v>
      </c>
      <c r="AK21" s="71" t="n"/>
      <c r="AL21" s="71" t="n"/>
      <c r="AM21" s="71" t="n"/>
      <c r="AN21" s="273" t="n"/>
      <c r="AO21" s="69" t="n">
        <v>2</v>
      </c>
      <c r="AP21" s="71" t="n"/>
      <c r="AQ21" s="71" t="n"/>
      <c r="AR21" s="71" t="n"/>
      <c r="AS21" s="71" t="n">
        <v>1</v>
      </c>
      <c r="AT21" s="273" t="n"/>
      <c r="AU21" s="69" t="n">
        <v>1</v>
      </c>
      <c r="AV21" s="71" t="n"/>
      <c r="AW21" s="71" t="n"/>
      <c r="AX21" s="71" t="n"/>
      <c r="AY21" s="71" t="n"/>
      <c r="AZ21" s="273" t="n"/>
      <c r="BA21" s="69" t="n">
        <v>2</v>
      </c>
      <c r="BB21" s="71" t="n"/>
      <c r="BC21" s="71" t="n"/>
      <c r="BD21" s="71" t="n"/>
      <c r="BE21" s="71" t="n">
        <v>1</v>
      </c>
      <c r="BF21" s="273" t="n"/>
      <c r="BG21" s="69" t="n">
        <v>1</v>
      </c>
      <c r="BH21" s="71" t="n"/>
      <c r="BI21" s="71" t="n"/>
      <c r="BJ21" s="71" t="n"/>
      <c r="BK21" s="71" t="n"/>
      <c r="BL21" s="273" t="n"/>
      <c r="BM21" s="69" t="n">
        <v>2</v>
      </c>
      <c r="BN21" s="71" t="n"/>
      <c r="BO21" s="71" t="n"/>
      <c r="BP21" s="71" t="n"/>
      <c r="BQ21" s="71" t="n"/>
      <c r="BR21" s="273" t="n"/>
      <c r="BS21" s="69" t="n">
        <v>1</v>
      </c>
      <c r="BT21" s="71" t="n"/>
      <c r="BU21" s="71" t="n"/>
      <c r="BV21" s="71" t="n"/>
      <c r="BW21" s="71" t="n">
        <v>2</v>
      </c>
      <c r="BX21" s="273" t="n"/>
      <c r="BZ21" s="274">
        <f>+E21+K21+Q21+W21+AC21+AI21+AO21+AU21+BA21+BG21+BM21+BS21</f>
        <v/>
      </c>
      <c r="CA21" s="275">
        <f>+F21+L21+R21+X21+AD21+AJ21+AP21+AV21+BB21+BH21+BN21+BT21</f>
        <v/>
      </c>
      <c r="CB21" s="275">
        <f>+G21+M21+S21+Y21+AE21+AK21+AQ21+AW21+BC21+BI21+BO21+BU21</f>
        <v/>
      </c>
      <c r="CC21" s="275">
        <f>+H21+N21+T21+Z21+AF21+AL21+AR21+AX21+BD21+BJ21+BP21+BV21</f>
        <v/>
      </c>
      <c r="CD21" s="276">
        <f>+I21+O21+U21+AA21+AG21+AM21+AS21+AY21+BE21+BK21+BQ21+BW21</f>
        <v/>
      </c>
      <c r="CE21" s="142">
        <f>+J21+P21+V21+AB21+AH21+AN21+AT21+AZ21+BF21+BL21+BR21+BX21</f>
        <v/>
      </c>
    </row>
    <row r="22">
      <c r="A22" s="71" t="n">
        <v>18</v>
      </c>
      <c r="B22" s="137" t="inlineStr">
        <is>
          <t>นาง</t>
        </is>
      </c>
      <c r="C22" s="74" t="inlineStr">
        <is>
          <t>บัดกรี</t>
        </is>
      </c>
      <c r="D22" s="107" t="inlineStr">
        <is>
          <t>แถวอุทุม</t>
        </is>
      </c>
      <c r="E22" s="69" t="n"/>
      <c r="F22" s="71" t="n">
        <v>1</v>
      </c>
      <c r="G22" s="71" t="n"/>
      <c r="H22" s="71" t="n"/>
      <c r="I22" s="71" t="n"/>
      <c r="J22" s="273" t="n"/>
      <c r="K22" s="69" t="n"/>
      <c r="L22" s="71" t="n"/>
      <c r="M22" s="71" t="n"/>
      <c r="N22" s="71" t="n"/>
      <c r="O22" s="71" t="n"/>
      <c r="P22" s="273" t="n"/>
      <c r="Q22" s="69" t="n"/>
      <c r="R22" s="71" t="n"/>
      <c r="S22" s="71" t="n"/>
      <c r="T22" s="71" t="n"/>
      <c r="U22" s="71" t="n"/>
      <c r="V22" s="273" t="n"/>
      <c r="W22" s="69" t="n"/>
      <c r="X22" s="71" t="n"/>
      <c r="Y22" s="71" t="n"/>
      <c r="Z22" s="71" t="n"/>
      <c r="AA22" s="71" t="n"/>
      <c r="AB22" s="273" t="n"/>
      <c r="AC22" s="69" t="n"/>
      <c r="AD22" s="71" t="n">
        <v>2</v>
      </c>
      <c r="AE22" s="71" t="n"/>
      <c r="AF22" s="71" t="n"/>
      <c r="AG22" s="71" t="n"/>
      <c r="AH22" s="273" t="n"/>
      <c r="AI22" s="69" t="n"/>
      <c r="AJ22" s="71" t="n">
        <v>1</v>
      </c>
      <c r="AK22" s="71" t="n"/>
      <c r="AL22" s="71" t="n"/>
      <c r="AM22" s="71" t="n">
        <v>3</v>
      </c>
      <c r="AN22" s="273" t="n"/>
      <c r="AO22" s="69" t="n"/>
      <c r="AP22" s="71" t="n">
        <v>1</v>
      </c>
      <c r="AQ22" s="71" t="n"/>
      <c r="AR22" s="71" t="n"/>
      <c r="AS22" s="71" t="n"/>
      <c r="AT22" s="273" t="n">
        <v>0.001388888888888889</v>
      </c>
      <c r="AU22" s="69" t="n"/>
      <c r="AV22" s="71" t="n"/>
      <c r="AW22" s="71" t="n"/>
      <c r="AX22" s="71" t="n"/>
      <c r="AY22" s="71" t="n"/>
      <c r="AZ22" s="273" t="n"/>
      <c r="BA22" s="69" t="n"/>
      <c r="BB22" s="71" t="n"/>
      <c r="BC22" s="71" t="n"/>
      <c r="BD22" s="71" t="n"/>
      <c r="BE22" s="71" t="n"/>
      <c r="BF22" s="273" t="n"/>
      <c r="BG22" s="69" t="n"/>
      <c r="BH22" s="71" t="n">
        <v>0.5</v>
      </c>
      <c r="BI22" s="71" t="n"/>
      <c r="BJ22" s="71" t="n"/>
      <c r="BK22" s="71" t="n"/>
      <c r="BL22" s="273" t="n"/>
      <c r="BM22" s="69" t="n"/>
      <c r="BN22" s="71" t="n"/>
      <c r="BO22" s="71" t="n"/>
      <c r="BP22" s="71" t="n"/>
      <c r="BQ22" s="71" t="n">
        <v>1</v>
      </c>
      <c r="BR22" s="273" t="n"/>
      <c r="BS22" s="69" t="n"/>
      <c r="BT22" s="71" t="n"/>
      <c r="BU22" s="71" t="n"/>
      <c r="BV22" s="71" t="n"/>
      <c r="BW22" s="71" t="n"/>
      <c r="BX22" s="273" t="n"/>
      <c r="BZ22" s="274">
        <f>+E22+K22+Q22+W22+AC22+AI22+AO22+AU22+BA22+BG22+BM22+BS22</f>
        <v/>
      </c>
      <c r="CA22" s="275">
        <f>+F22+L22+R22+X22+AD22+AJ22+AP22+AV22+BB22+BH22+BN22+BT22</f>
        <v/>
      </c>
      <c r="CB22" s="275">
        <f>+G22+M22+S22+Y22+AE22+AK22+AQ22+AW22+BC22+BI22+BO22+BU22</f>
        <v/>
      </c>
      <c r="CC22" s="275">
        <f>+H22+N22+T22+Z22+AF22+AL22+AR22+AX22+BD22+BJ22+BP22+BV22</f>
        <v/>
      </c>
      <c r="CD22" s="276">
        <f>+I22+O22+U22+AA22+AG22+AM22+AS22+AY22+BE22+BK22+BQ22+BW22</f>
        <v/>
      </c>
      <c r="CE22" s="142">
        <f>+J22+P22+V22+AB22+AH22+AN22+AT22+AZ22+BF22+BL22+BR22+BX22</f>
        <v/>
      </c>
    </row>
    <row r="23">
      <c r="A23" s="71" t="n">
        <v>19</v>
      </c>
      <c r="B23" s="137" t="inlineStr">
        <is>
          <t>นาย</t>
        </is>
      </c>
      <c r="C23" s="64" t="inlineStr">
        <is>
          <t>บุญเลิศ</t>
        </is>
      </c>
      <c r="D23" s="14" t="inlineStr">
        <is>
          <t>อินสุข</t>
        </is>
      </c>
      <c r="E23" s="69" t="n"/>
      <c r="F23" s="71" t="n">
        <v>0.5</v>
      </c>
      <c r="G23" s="71" t="n"/>
      <c r="H23" s="71" t="n"/>
      <c r="I23" s="71" t="n">
        <v>1</v>
      </c>
      <c r="J23" s="273" t="n"/>
      <c r="K23" s="69" t="n"/>
      <c r="L23" s="71" t="n"/>
      <c r="M23" s="71" t="n"/>
      <c r="N23" s="71" t="n"/>
      <c r="O23" s="71" t="n"/>
      <c r="P23" s="273" t="n"/>
      <c r="Q23" s="69" t="n"/>
      <c r="R23" s="71" t="n">
        <v>0.5</v>
      </c>
      <c r="S23" s="71" t="n"/>
      <c r="T23" s="71" t="n"/>
      <c r="U23" s="71" t="n">
        <v>1</v>
      </c>
      <c r="V23" s="273" t="n"/>
      <c r="W23" s="69" t="n"/>
      <c r="X23" s="71" t="n">
        <v>1</v>
      </c>
      <c r="Y23" s="71" t="n"/>
      <c r="Z23" s="71" t="n"/>
      <c r="AA23" s="71" t="n">
        <v>1</v>
      </c>
      <c r="AB23" s="273" t="n"/>
      <c r="AC23" s="69" t="n"/>
      <c r="AD23" s="71" t="n">
        <v>2</v>
      </c>
      <c r="AE23" s="71" t="n"/>
      <c r="AF23" s="71" t="n"/>
      <c r="AG23" s="71" t="n"/>
      <c r="AH23" s="273" t="n"/>
      <c r="AI23" s="69" t="n"/>
      <c r="AJ23" s="71" t="n">
        <v>1</v>
      </c>
      <c r="AK23" s="71" t="n"/>
      <c r="AL23" s="71" t="n"/>
      <c r="AM23" s="71" t="n"/>
      <c r="AN23" s="273" t="n"/>
      <c r="AO23" s="69" t="n"/>
      <c r="AP23" s="71" t="n"/>
      <c r="AQ23" s="71" t="n"/>
      <c r="AR23" s="71" t="n">
        <v>0.5</v>
      </c>
      <c r="AS23" s="71" t="n">
        <v>1</v>
      </c>
      <c r="AT23" s="273" t="n"/>
      <c r="AU23" s="69" t="n"/>
      <c r="AV23" s="71" t="n"/>
      <c r="AW23" s="71" t="n"/>
      <c r="AX23" s="71" t="n"/>
      <c r="AY23" s="71" t="n">
        <v>1</v>
      </c>
      <c r="AZ23" s="273" t="n"/>
      <c r="BA23" s="69" t="n"/>
      <c r="BB23" s="71" t="n">
        <v>0.5</v>
      </c>
      <c r="BC23" s="71" t="n"/>
      <c r="BD23" s="71" t="n"/>
      <c r="BE23" s="71" t="n"/>
      <c r="BF23" s="273" t="n"/>
      <c r="BG23" s="69" t="n">
        <v>1</v>
      </c>
      <c r="BH23" s="71" t="n"/>
      <c r="BI23" s="71" t="n"/>
      <c r="BJ23" s="71" t="n"/>
      <c r="BK23" s="71" t="n"/>
      <c r="BL23" s="273" t="n"/>
      <c r="BM23" s="69" t="n"/>
      <c r="BN23" s="71" t="n">
        <v>0.5</v>
      </c>
      <c r="BO23" s="71" t="n"/>
      <c r="BP23" s="71" t="n"/>
      <c r="BQ23" s="71" t="n">
        <v>1</v>
      </c>
      <c r="BR23" s="273" t="n"/>
      <c r="BS23" s="69" t="n"/>
      <c r="BT23" s="71" t="n"/>
      <c r="BU23" s="71" t="n">
        <v>1</v>
      </c>
      <c r="BV23" s="71" t="n">
        <v>1</v>
      </c>
      <c r="BW23" s="71" t="n"/>
      <c r="BX23" s="273" t="n"/>
      <c r="BZ23" s="274">
        <f>+E23+K23+Q23+W23+AC23+AI23+AO23+AU23+BA23+BG23+BM23+BS23</f>
        <v/>
      </c>
      <c r="CA23" s="275">
        <f>+F23+L23+R23+X23+AD23+AJ23+AP23+AV23+BB23+BH23+BN23+BT23</f>
        <v/>
      </c>
      <c r="CB23" s="275">
        <f>+G23+M23+S23+Y23+AE23+AK23+AQ23+AW23+BC23+BI23+BO23+BU23</f>
        <v/>
      </c>
      <c r="CC23" s="275">
        <f>+H23+N23+T23+Z23+AF23+AL23+AR23+AX23+BD23+BJ23+BP23+BV23</f>
        <v/>
      </c>
      <c r="CD23" s="276">
        <f>+I23+O23+U23+AA23+AG23+AM23+AS23+AY23+BE23+BK23+BQ23+BW23</f>
        <v/>
      </c>
      <c r="CE23" s="142">
        <f>+J23+P23+V23+AB23+AH23+AN23+AT23+AZ23+BF23+BL23+BR23+BX23</f>
        <v/>
      </c>
    </row>
    <row r="24">
      <c r="A24" s="71" t="n">
        <v>20</v>
      </c>
      <c r="B24" s="137" t="inlineStr">
        <is>
          <t>นาย</t>
        </is>
      </c>
      <c r="C24" s="64" t="inlineStr">
        <is>
          <t>บุญส่ง</t>
        </is>
      </c>
      <c r="D24" s="14" t="inlineStr">
        <is>
          <t>ดวงเหม</t>
        </is>
      </c>
      <c r="E24" s="69" t="n"/>
      <c r="F24" s="71" t="n"/>
      <c r="G24" s="71" t="n"/>
      <c r="H24" s="71" t="n"/>
      <c r="I24" s="71" t="n">
        <v>4</v>
      </c>
      <c r="J24" s="273" t="n"/>
      <c r="K24" s="69" t="n"/>
      <c r="L24" s="71" t="n"/>
      <c r="M24" s="71" t="n"/>
      <c r="N24" s="71" t="n"/>
      <c r="O24" s="71" t="n"/>
      <c r="P24" s="273" t="n"/>
      <c r="Q24" s="69" t="n"/>
      <c r="R24" s="71" t="n"/>
      <c r="S24" s="71" t="n"/>
      <c r="T24" s="71" t="n"/>
      <c r="U24" s="71" t="n"/>
      <c r="V24" s="273" t="n"/>
      <c r="W24" s="69" t="n">
        <v>1</v>
      </c>
      <c r="X24" s="71" t="n">
        <v>1</v>
      </c>
      <c r="Y24" s="71" t="n"/>
      <c r="Z24" s="71" t="n"/>
      <c r="AA24" s="71" t="n"/>
      <c r="AB24" s="273" t="n"/>
      <c r="AC24" s="69" t="n"/>
      <c r="AD24" s="71" t="n"/>
      <c r="AE24" s="71" t="n"/>
      <c r="AF24" s="71" t="n"/>
      <c r="AG24" s="71" t="n"/>
      <c r="AH24" s="273" t="n"/>
      <c r="AI24" s="69" t="n"/>
      <c r="AJ24" s="71" t="n"/>
      <c r="AK24" s="71" t="n"/>
      <c r="AL24" s="71" t="n"/>
      <c r="AM24" s="71" t="n"/>
      <c r="AN24" s="273" t="n"/>
      <c r="AO24" s="69" t="n"/>
      <c r="AP24" s="71" t="n"/>
      <c r="AQ24" s="71" t="n"/>
      <c r="AR24" s="71" t="n"/>
      <c r="AS24" s="71" t="n"/>
      <c r="AT24" s="273" t="n"/>
      <c r="AU24" s="69" t="n"/>
      <c r="AV24" s="71" t="n"/>
      <c r="AW24" s="71" t="n"/>
      <c r="AX24" s="71" t="n"/>
      <c r="AY24" s="71" t="n"/>
      <c r="AZ24" s="273" t="n"/>
      <c r="BA24" s="69" t="n"/>
      <c r="BB24" s="71" t="n"/>
      <c r="BC24" s="71" t="n"/>
      <c r="BD24" s="71" t="n"/>
      <c r="BE24" s="71" t="n"/>
      <c r="BF24" s="273" t="n"/>
      <c r="BG24" s="69" t="n"/>
      <c r="BH24" s="71" t="n"/>
      <c r="BI24" s="71" t="n"/>
      <c r="BJ24" s="71" t="n"/>
      <c r="BK24" s="71" t="n"/>
      <c r="BL24" s="273" t="n"/>
      <c r="BM24" s="69" t="n"/>
      <c r="BN24" s="71" t="n">
        <v>2</v>
      </c>
      <c r="BO24" s="71" t="n"/>
      <c r="BP24" s="71" t="n"/>
      <c r="BQ24" s="71" t="n"/>
      <c r="BR24" s="273" t="n"/>
      <c r="BS24" s="69" t="n"/>
      <c r="BT24" s="71" t="n">
        <v>0.5</v>
      </c>
      <c r="BU24" s="71" t="n"/>
      <c r="BV24" s="71" t="n"/>
      <c r="BW24" s="71" t="n">
        <v>2</v>
      </c>
      <c r="BX24" s="273" t="n"/>
      <c r="BZ24" s="274">
        <f>+E24+K24+Q24+W24+AC24+AI24+AO24+AU24+BA24+BG24+BM24+BS24</f>
        <v/>
      </c>
      <c r="CA24" s="275">
        <f>+F24+L24+R24+X24+AD24+AJ24+AP24+AV24+BB24+BH24+BN24+BT24</f>
        <v/>
      </c>
      <c r="CB24" s="275">
        <f>+G24+M24+S24+Y24+AE24+AK24+AQ24+AW24+BC24+BI24+BO24+BU24</f>
        <v/>
      </c>
      <c r="CC24" s="275">
        <f>+H24+N24+T24+Z24+AF24+AL24+AR24+AX24+BD24+BJ24+BP24+BV24</f>
        <v/>
      </c>
      <c r="CD24" s="276">
        <f>+I24+O24+U24+AA24+AG24+AM24+AS24+AY24+BE24+BK24+BQ24+BW24</f>
        <v/>
      </c>
      <c r="CE24" s="142">
        <f>+J24+P24+V24+AB24+AH24+AN24+AT24+AZ24+BF24+BL24+BR24+BX24</f>
        <v/>
      </c>
    </row>
    <row r="25">
      <c r="A25" s="71" t="n">
        <v>21</v>
      </c>
      <c r="B25" s="137" t="inlineStr">
        <is>
          <t>นาง</t>
        </is>
      </c>
      <c r="C25" s="64" t="inlineStr">
        <is>
          <t>ประชา</t>
        </is>
      </c>
      <c r="D25" s="14" t="inlineStr">
        <is>
          <t>วรวงษ์</t>
        </is>
      </c>
      <c r="E25" s="69" t="n"/>
      <c r="F25" s="71" t="n">
        <v>1</v>
      </c>
      <c r="G25" s="71" t="n"/>
      <c r="H25" s="71" t="n"/>
      <c r="I25" s="71" t="n"/>
      <c r="J25" s="273" t="n"/>
      <c r="K25" s="69" t="n"/>
      <c r="L25" s="71" t="n"/>
      <c r="M25" s="71" t="n"/>
      <c r="N25" s="71" t="n"/>
      <c r="O25" s="71" t="n">
        <v>3</v>
      </c>
      <c r="P25" s="273" t="n"/>
      <c r="Q25" s="69" t="n"/>
      <c r="R25" s="71" t="n">
        <v>1</v>
      </c>
      <c r="S25" s="71" t="n"/>
      <c r="T25" s="71" t="n">
        <v>1</v>
      </c>
      <c r="U25" s="71" t="n"/>
      <c r="V25" s="273" t="n"/>
      <c r="W25" s="69" t="n"/>
      <c r="X25" s="71" t="n"/>
      <c r="Y25" s="71" t="n"/>
      <c r="Z25" s="71" t="n">
        <v>0.5</v>
      </c>
      <c r="AA25" s="71" t="n"/>
      <c r="AB25" s="273" t="n"/>
      <c r="AC25" s="69" t="n">
        <v>2</v>
      </c>
      <c r="AD25" s="71" t="n">
        <v>0.5</v>
      </c>
      <c r="AE25" s="71" t="n"/>
      <c r="AF25" s="71" t="n"/>
      <c r="AG25" s="71" t="n">
        <v>2</v>
      </c>
      <c r="AH25" s="273" t="n"/>
      <c r="AI25" s="69" t="n">
        <v>1</v>
      </c>
      <c r="AJ25" s="71" t="n"/>
      <c r="AK25" s="71" t="n"/>
      <c r="AL25" s="71" t="n"/>
      <c r="AM25" s="71" t="n"/>
      <c r="AN25" s="273" t="n"/>
      <c r="AO25" s="69" t="n"/>
      <c r="AP25" s="71" t="n"/>
      <c r="AQ25" s="71" t="n"/>
      <c r="AR25" s="71" t="n">
        <v>1</v>
      </c>
      <c r="AS25" s="71" t="n">
        <v>1</v>
      </c>
      <c r="AT25" s="273" t="n"/>
      <c r="AU25" s="69" t="n"/>
      <c r="AV25" s="71" t="n"/>
      <c r="AW25" s="71" t="n"/>
      <c r="AX25" s="71" t="n">
        <v>1</v>
      </c>
      <c r="AY25" s="71" t="n"/>
      <c r="AZ25" s="273" t="n"/>
      <c r="BA25" s="69" t="n">
        <v>1</v>
      </c>
      <c r="BB25" s="71" t="n"/>
      <c r="BC25" s="71" t="n"/>
      <c r="BD25" s="71" t="n"/>
      <c r="BE25" s="71" t="n"/>
      <c r="BF25" s="273" t="n"/>
      <c r="BG25" s="69" t="n"/>
      <c r="BH25" s="71" t="n"/>
      <c r="BI25" s="71" t="n"/>
      <c r="BJ25" s="71" t="n"/>
      <c r="BK25" s="71" t="n"/>
      <c r="BL25" s="273" t="n">
        <v>0.004166666666666667</v>
      </c>
      <c r="BM25" s="69" t="n">
        <v>1</v>
      </c>
      <c r="BN25" s="71" t="n"/>
      <c r="BO25" s="71" t="n"/>
      <c r="BP25" s="71" t="n"/>
      <c r="BQ25" s="71" t="n"/>
      <c r="BR25" s="273" t="n"/>
      <c r="BS25" s="69" t="n"/>
      <c r="BT25" s="71" t="n">
        <v>2</v>
      </c>
      <c r="BU25" s="71" t="n"/>
      <c r="BV25" s="71" t="n">
        <v>1.5</v>
      </c>
      <c r="BW25" s="71" t="n"/>
      <c r="BX25" s="273" t="n"/>
      <c r="BZ25" s="274">
        <f>+E25+K25+Q25+W25+AC25+AI25+AO25+AU25+BA25+BG25+BM25+BS25</f>
        <v/>
      </c>
      <c r="CA25" s="275">
        <f>+F25+L25+R25+X25+AD25+AJ25+AP25+AV25+BB25+BH25+BN25+BT25</f>
        <v/>
      </c>
      <c r="CB25" s="275">
        <f>+G25+M25+S25+Y25+AE25+AK25+AQ25+AW25+BC25+BI25+BO25+BU25</f>
        <v/>
      </c>
      <c r="CC25" s="275">
        <f>+H25+N25+T25+Z25+AF25+AL25+AR25+AX25+BD25+BJ25+BP25+BV25</f>
        <v/>
      </c>
      <c r="CD25" s="276">
        <f>+I25+O25+U25+AA25+AG25+AM25+AS25+AY25+BE25+BK25+BQ25+BW25</f>
        <v/>
      </c>
      <c r="CE25" s="142">
        <f>+J25+P25+V25+AB25+AH25+AN25+AT25+AZ25+BF25+BL25+BR25+BX25</f>
        <v/>
      </c>
    </row>
    <row r="26">
      <c r="A26" s="71" t="n">
        <v>22</v>
      </c>
      <c r="B26" s="137" t="inlineStr">
        <is>
          <t>นาย</t>
        </is>
      </c>
      <c r="C26" s="64" t="inlineStr">
        <is>
          <t>พัชรวัฒน์</t>
        </is>
      </c>
      <c r="D26" s="14" t="inlineStr">
        <is>
          <t>สิทธิวิโรฒโภคิน</t>
        </is>
      </c>
      <c r="E26" s="69" t="n"/>
      <c r="F26" s="71" t="n"/>
      <c r="G26" s="71" t="n"/>
      <c r="H26" s="71" t="n"/>
      <c r="I26" s="71" t="n"/>
      <c r="J26" s="273" t="n">
        <v>0.001388888888888889</v>
      </c>
      <c r="K26" s="69" t="n"/>
      <c r="L26" s="71" t="n"/>
      <c r="M26" s="71" t="n"/>
      <c r="N26" s="71" t="n"/>
      <c r="O26" s="71" t="n"/>
      <c r="P26" s="273" t="n"/>
      <c r="Q26" s="69" t="n">
        <v>1</v>
      </c>
      <c r="R26" s="71" t="n"/>
      <c r="S26" s="71" t="n"/>
      <c r="T26" s="71" t="n"/>
      <c r="U26" s="71" t="n"/>
      <c r="V26" s="273" t="n"/>
      <c r="W26" s="69" t="n">
        <v>1</v>
      </c>
      <c r="X26" s="71" t="n"/>
      <c r="Y26" s="71" t="n"/>
      <c r="Z26" s="71" t="n"/>
      <c r="AA26" s="71" t="n"/>
      <c r="AB26" s="273" t="n"/>
      <c r="AC26" s="69" t="n"/>
      <c r="AD26" s="71" t="n">
        <v>1</v>
      </c>
      <c r="AE26" s="71" t="n"/>
      <c r="AF26" s="71" t="n"/>
      <c r="AG26" s="71" t="n"/>
      <c r="AH26" s="273" t="n"/>
      <c r="AI26" s="69" t="n"/>
      <c r="AJ26" s="71" t="n"/>
      <c r="AK26" s="71" t="n"/>
      <c r="AL26" s="71" t="n"/>
      <c r="AM26" s="71" t="n">
        <v>1</v>
      </c>
      <c r="AN26" s="273" t="n">
        <v>0.0006944444444444445</v>
      </c>
      <c r="AO26" s="69" t="n">
        <v>1</v>
      </c>
      <c r="AP26" s="71" t="n"/>
      <c r="AQ26" s="71" t="n"/>
      <c r="AR26" s="71" t="n"/>
      <c r="AS26" s="71" t="n"/>
      <c r="AT26" s="273" t="n"/>
      <c r="AU26" s="69" t="n"/>
      <c r="AV26" s="71" t="n"/>
      <c r="AW26" s="71" t="n"/>
      <c r="AX26" s="71" t="n"/>
      <c r="AY26" s="71" t="n"/>
      <c r="AZ26" s="273" t="n"/>
      <c r="BA26" s="69" t="n"/>
      <c r="BB26" s="71" t="n"/>
      <c r="BC26" s="71" t="n"/>
      <c r="BD26" s="71" t="n"/>
      <c r="BE26" s="71" t="n"/>
      <c r="BF26" s="273" t="n">
        <v>0.0006944444444444445</v>
      </c>
      <c r="BG26" s="69" t="n"/>
      <c r="BH26" s="71" t="n"/>
      <c r="BI26" s="71" t="n"/>
      <c r="BJ26" s="71" t="n"/>
      <c r="BK26" s="71" t="n"/>
      <c r="BL26" s="273" t="n"/>
      <c r="BM26" s="69" t="n">
        <v>1</v>
      </c>
      <c r="BN26" s="71" t="n"/>
      <c r="BO26" s="71" t="n"/>
      <c r="BP26" s="71" t="n"/>
      <c r="BQ26" s="71" t="n"/>
      <c r="BR26" s="273" t="n"/>
      <c r="BS26" s="69" t="n">
        <v>4</v>
      </c>
      <c r="BT26" s="71" t="n">
        <v>1</v>
      </c>
      <c r="BU26" s="71" t="n"/>
      <c r="BV26" s="71" t="n"/>
      <c r="BW26" s="71" t="n">
        <v>5</v>
      </c>
      <c r="BX26" s="273" t="n"/>
      <c r="BZ26" s="274">
        <f>+E26+K26+Q26+W26+AC26+AI26+AO26+AU26+BA26+BG26+BM26+BS26</f>
        <v/>
      </c>
      <c r="CA26" s="275">
        <f>+F26+L26+R26+X26+AD26+AJ26+AP26+AV26+BB26+BH26+BN26+BT26</f>
        <v/>
      </c>
      <c r="CB26" s="275">
        <f>+G26+M26+S26+Y26+AE26+AK26+AQ26+AW26+BC26+BI26+BO26+BU26</f>
        <v/>
      </c>
      <c r="CC26" s="275">
        <f>+H26+N26+T26+Z26+AF26+AL26+AR26+AX26+BD26+BJ26+BP26+BV26</f>
        <v/>
      </c>
      <c r="CD26" s="276">
        <f>+I26+O26+U26+AA26+AG26+AM26+AS26+AY26+BE26+BK26+BQ26+BW26</f>
        <v/>
      </c>
      <c r="CE26" s="142">
        <f>+J26+P26+V26+AB26+AH26+AN26+AT26+AZ26+BF26+BL26+BR26+BX26</f>
        <v/>
      </c>
    </row>
    <row r="27">
      <c r="A27" s="71" t="n">
        <v>23</v>
      </c>
      <c r="B27" s="137" t="inlineStr">
        <is>
          <t>นาย</t>
        </is>
      </c>
      <c r="C27" s="64" t="inlineStr">
        <is>
          <t>ไพฑูรย์</t>
        </is>
      </c>
      <c r="D27" s="14" t="inlineStr">
        <is>
          <t>ป้องเรือ</t>
        </is>
      </c>
      <c r="E27" s="69" t="n"/>
      <c r="F27" s="71" t="n">
        <v>2</v>
      </c>
      <c r="G27" s="71" t="n"/>
      <c r="H27" s="71" t="n"/>
      <c r="I27" s="71" t="n"/>
      <c r="J27" s="273" t="n"/>
      <c r="K27" s="95" t="n"/>
      <c r="L27" s="71" t="n">
        <v>1</v>
      </c>
      <c r="M27" s="71" t="n"/>
      <c r="N27" s="71" t="n"/>
      <c r="O27" s="71" t="n">
        <v>2</v>
      </c>
      <c r="P27" s="273" t="n"/>
      <c r="Q27" s="95" t="n">
        <v>0.5</v>
      </c>
      <c r="R27" s="71" t="n">
        <v>3</v>
      </c>
      <c r="S27" s="71" t="n">
        <v>0.5</v>
      </c>
      <c r="T27" s="71" t="n"/>
      <c r="U27" s="71" t="n"/>
      <c r="V27" s="273" t="n"/>
      <c r="W27" s="69" t="n"/>
      <c r="X27" s="71" t="n"/>
      <c r="Y27" s="71" t="n"/>
      <c r="Z27" s="71" t="n"/>
      <c r="AA27" s="71" t="n"/>
      <c r="AB27" s="273" t="n"/>
      <c r="AC27" s="95" t="n"/>
      <c r="AD27" s="71" t="n"/>
      <c r="AE27" s="71" t="n">
        <v>1</v>
      </c>
      <c r="AF27" s="71" t="n"/>
      <c r="AG27" s="71" t="n"/>
      <c r="AH27" s="273" t="n"/>
      <c r="AI27" s="69" t="n"/>
      <c r="AJ27" s="71" t="n"/>
      <c r="AK27" s="71" t="n"/>
      <c r="AL27" s="71" t="n"/>
      <c r="AM27" s="71" t="n">
        <v>3</v>
      </c>
      <c r="AN27" s="273" t="n"/>
      <c r="AO27" s="69" t="n"/>
      <c r="AP27" s="71" t="n"/>
      <c r="AQ27" s="71" t="n">
        <v>1</v>
      </c>
      <c r="AR27" s="71" t="n"/>
      <c r="AS27" s="71" t="n"/>
      <c r="AT27" s="273" t="n"/>
      <c r="AU27" s="69" t="n">
        <v>1</v>
      </c>
      <c r="AV27" s="71" t="n"/>
      <c r="AW27" s="71" t="n"/>
      <c r="AX27" s="71" t="n"/>
      <c r="AY27" s="71" t="n"/>
      <c r="AZ27" s="273" t="n"/>
      <c r="BA27" s="69" t="n"/>
      <c r="BB27" s="71" t="n"/>
      <c r="BC27" s="71" t="n"/>
      <c r="BD27" s="71" t="n"/>
      <c r="BE27" s="71" t="n"/>
      <c r="BF27" s="273" t="n"/>
      <c r="BG27" s="69" t="n">
        <v>1</v>
      </c>
      <c r="BH27" s="71" t="n"/>
      <c r="BI27" s="71" t="n">
        <v>1</v>
      </c>
      <c r="BJ27" s="71" t="n">
        <v>0.5</v>
      </c>
      <c r="BK27" s="71" t="n"/>
      <c r="BL27" s="273" t="n"/>
      <c r="BM27" s="69" t="n">
        <v>1</v>
      </c>
      <c r="BN27" s="71" t="n"/>
      <c r="BO27" s="71" t="n"/>
      <c r="BP27" s="71" t="n"/>
      <c r="BQ27" s="71" t="n">
        <v>1</v>
      </c>
      <c r="BR27" s="273" t="n"/>
      <c r="BS27" s="69" t="n"/>
      <c r="BT27" s="71" t="n"/>
      <c r="BU27" s="71" t="n"/>
      <c r="BV27" s="71" t="n">
        <v>1</v>
      </c>
      <c r="BW27" s="71" t="n"/>
      <c r="BX27" s="273" t="n"/>
      <c r="BZ27" s="274">
        <f>+E27+K27+Q27+W27+AC27+AI27+AO27+AU27+BA27+BG27+BM27+BS27</f>
        <v/>
      </c>
      <c r="CA27" s="275">
        <f>+F27+L27+R27+X27+AD27+AJ27+AP27+AV27+BB27+BH27+BN27+BT27</f>
        <v/>
      </c>
      <c r="CB27" s="275">
        <f>+G27+M27+S27+Y27+AE27+AK27+AQ27+AW27+BC27+BI27+BO27+BU27</f>
        <v/>
      </c>
      <c r="CC27" s="275">
        <f>+H27+N27+T27+Z27+AF27+AL27+AR27+AX27+BD27+BJ27+BP27+BV27</f>
        <v/>
      </c>
      <c r="CD27" s="276">
        <f>+I27+O27+U27+AA27+AG27+AM27+AS27+AY27+BE27+BK27+BQ27+BW27</f>
        <v/>
      </c>
      <c r="CE27" s="142">
        <f>+J27+P27+V27+AB27+AH27+AN27+AT27+AZ27+BF27+BL27+BR27+BX27</f>
        <v/>
      </c>
    </row>
    <row r="28">
      <c r="A28" s="71" t="n">
        <v>24</v>
      </c>
      <c r="B28" s="137" t="inlineStr">
        <is>
          <t>น.ส.</t>
        </is>
      </c>
      <c r="C28" s="64" t="inlineStr">
        <is>
          <t>มนิต</t>
        </is>
      </c>
      <c r="D28" s="14" t="inlineStr">
        <is>
          <t>เปี่ยมศิลป์</t>
        </is>
      </c>
      <c r="E28" s="69" t="n"/>
      <c r="F28" s="71" t="n">
        <v>0.5</v>
      </c>
      <c r="G28" s="71" t="n"/>
      <c r="H28" s="71" t="n"/>
      <c r="I28" s="71" t="n"/>
      <c r="J28" s="273" t="n"/>
      <c r="K28" s="95" t="n">
        <v>10</v>
      </c>
      <c r="L28" s="71" t="n"/>
      <c r="M28" s="71" t="n"/>
      <c r="N28" s="71" t="n"/>
      <c r="O28" s="71" t="n"/>
      <c r="P28" s="273" t="n"/>
      <c r="Q28" s="95" t="n">
        <v>2</v>
      </c>
      <c r="R28" s="71" t="n"/>
      <c r="S28" s="71" t="n"/>
      <c r="T28" s="71" t="n"/>
      <c r="U28" s="71" t="n"/>
      <c r="V28" s="273" t="n"/>
      <c r="W28" s="69" t="n"/>
      <c r="X28" s="71" t="n"/>
      <c r="Y28" s="71" t="n"/>
      <c r="Z28" s="71" t="n"/>
      <c r="AA28" s="71" t="n"/>
      <c r="AB28" s="273" t="n"/>
      <c r="AC28" s="69" t="n"/>
      <c r="AD28" s="71" t="n"/>
      <c r="AE28" s="71" t="n"/>
      <c r="AF28" s="71" t="n"/>
      <c r="AG28" s="71" t="n"/>
      <c r="AH28" s="273" t="n"/>
      <c r="AI28" s="69" t="n">
        <v>1</v>
      </c>
      <c r="AJ28" s="71" t="n"/>
      <c r="AK28" s="71" t="n"/>
      <c r="AL28" s="71" t="n"/>
      <c r="AM28" s="71" t="n"/>
      <c r="AN28" s="273" t="n"/>
      <c r="AO28" s="69" t="n"/>
      <c r="AP28" s="71" t="n"/>
      <c r="AQ28" s="71" t="n"/>
      <c r="AR28" s="71" t="n"/>
      <c r="AS28" s="71" t="n"/>
      <c r="AT28" s="273" t="n"/>
      <c r="AU28" s="69" t="n">
        <v>1</v>
      </c>
      <c r="AV28" s="71" t="n">
        <v>2</v>
      </c>
      <c r="AW28" s="71" t="n"/>
      <c r="AX28" s="71" t="n"/>
      <c r="AY28" s="71" t="n"/>
      <c r="AZ28" s="273" t="n"/>
      <c r="BA28" s="69" t="n"/>
      <c r="BB28" s="71" t="n">
        <v>0.5</v>
      </c>
      <c r="BC28" s="71" t="n"/>
      <c r="BD28" s="71" t="n"/>
      <c r="BE28" s="71" t="n">
        <v>1</v>
      </c>
      <c r="BF28" s="273" t="n"/>
      <c r="BG28" s="69" t="n"/>
      <c r="BH28" s="71" t="n"/>
      <c r="BI28" s="71" t="n"/>
      <c r="BJ28" s="71" t="n"/>
      <c r="BK28" s="71" t="n"/>
      <c r="BL28" s="273" t="n"/>
      <c r="BM28" s="69" t="n">
        <v>5</v>
      </c>
      <c r="BN28" s="71" t="n"/>
      <c r="BO28" s="71" t="n"/>
      <c r="BP28" s="71" t="n"/>
      <c r="BQ28" s="71" t="n">
        <v>2</v>
      </c>
      <c r="BR28" s="273" t="n"/>
      <c r="BS28" s="69" t="n"/>
      <c r="BT28" s="71" t="n"/>
      <c r="BU28" s="71" t="n"/>
      <c r="BV28" s="71" t="n"/>
      <c r="BW28" s="71" t="n">
        <v>1</v>
      </c>
      <c r="BX28" s="273" t="n"/>
      <c r="BZ28" s="274">
        <f>+E28+K28+Q28+W28+AC28+AI28+AO28+AU28+BA28+BG28+BM28+BS28</f>
        <v/>
      </c>
      <c r="CA28" s="275">
        <f>+F28+L28+R28+X28+AD28+AJ28+AP28+AV28+BB28+BH28+BN28+BT28</f>
        <v/>
      </c>
      <c r="CB28" s="275">
        <f>+G28+M28+S28+Y28+AE28+AK28+AQ28+AW28+BC28+BI28+BO28+BU28</f>
        <v/>
      </c>
      <c r="CC28" s="275">
        <f>+H28+N28+T28+Z28+AF28+AL28+AR28+AX28+BD28+BJ28+BP28+BV28</f>
        <v/>
      </c>
      <c r="CD28" s="276">
        <f>+I28+O28+U28+AA28+AG28+AM28+AS28+AY28+BE28+BK28+BQ28+BW28</f>
        <v/>
      </c>
      <c r="CE28" s="142">
        <f>+J28+P28+V28+AB28+AH28+AN28+AT28+AZ28+BF28+BL28+BR28+BX28</f>
        <v/>
      </c>
    </row>
    <row r="29">
      <c r="A29" s="71" t="n">
        <v>25</v>
      </c>
      <c r="B29" s="137" t="inlineStr">
        <is>
          <t>นาย</t>
        </is>
      </c>
      <c r="C29" s="64" t="inlineStr">
        <is>
          <t>วิทูรย์</t>
        </is>
      </c>
      <c r="D29" s="14" t="inlineStr">
        <is>
          <t>ทองชื่น</t>
        </is>
      </c>
      <c r="E29" s="69" t="n"/>
      <c r="F29" s="84" t="n"/>
      <c r="G29" s="84" t="n"/>
      <c r="H29" s="84" t="n"/>
      <c r="I29" s="84" t="n"/>
      <c r="J29" s="273" t="n"/>
      <c r="K29" s="95" t="n"/>
      <c r="L29" s="71" t="n">
        <v>2</v>
      </c>
      <c r="M29" s="71" t="n"/>
      <c r="N29" s="71" t="n"/>
      <c r="O29" s="71" t="n"/>
      <c r="P29" s="273" t="n"/>
      <c r="Q29" s="96" t="n">
        <v>1</v>
      </c>
      <c r="R29" s="84" t="n"/>
      <c r="S29" s="84" t="n"/>
      <c r="T29" s="84" t="n"/>
      <c r="U29" s="84" t="n"/>
      <c r="V29" s="273" t="n"/>
      <c r="W29" s="96" t="n"/>
      <c r="X29" s="84" t="n">
        <v>1</v>
      </c>
      <c r="Y29" s="84" t="n"/>
      <c r="Z29" s="84" t="n"/>
      <c r="AA29" s="84" t="n"/>
      <c r="AB29" s="278" t="n"/>
      <c r="AC29" s="95" t="n">
        <v>3</v>
      </c>
      <c r="AD29" s="71" t="n"/>
      <c r="AE29" s="71" t="n"/>
      <c r="AF29" s="71" t="n"/>
      <c r="AG29" s="71" t="n">
        <v>1</v>
      </c>
      <c r="AH29" s="278" t="n"/>
      <c r="AI29" s="69" t="n"/>
      <c r="AJ29" s="71" t="n"/>
      <c r="AK29" s="71" t="n"/>
      <c r="AL29" s="71" t="n"/>
      <c r="AM29" s="71" t="n"/>
      <c r="AN29" s="273" t="n"/>
      <c r="AO29" s="69" t="n"/>
      <c r="AP29" s="71" t="n"/>
      <c r="AQ29" s="71" t="n"/>
      <c r="AR29" s="71" t="n"/>
      <c r="AS29" s="71" t="n"/>
      <c r="AT29" s="273" t="n"/>
      <c r="AU29" s="69" t="n"/>
      <c r="AV29" s="71" t="n"/>
      <c r="AW29" s="71" t="n"/>
      <c r="AX29" s="71" t="n"/>
      <c r="AY29" s="71" t="n"/>
      <c r="AZ29" s="273" t="n"/>
      <c r="BA29" s="69" t="n">
        <v>1</v>
      </c>
      <c r="BB29" s="71" t="n">
        <v>2</v>
      </c>
      <c r="BC29" s="71" t="n"/>
      <c r="BD29" s="71" t="n"/>
      <c r="BE29" s="71" t="n">
        <v>1</v>
      </c>
      <c r="BF29" s="273" t="n"/>
      <c r="BG29" s="69" t="n"/>
      <c r="BH29" s="71" t="n"/>
      <c r="BI29" s="71" t="n"/>
      <c r="BJ29" s="71" t="n"/>
      <c r="BK29" s="71" t="n"/>
      <c r="BL29" s="273" t="n"/>
      <c r="BM29" s="69" t="n"/>
      <c r="BN29" s="71" t="n">
        <v>1</v>
      </c>
      <c r="BO29" s="71" t="n"/>
      <c r="BP29" s="71" t="n"/>
      <c r="BQ29" s="71" t="n"/>
      <c r="BR29" s="273" t="n">
        <v>0.0006944444444444445</v>
      </c>
      <c r="BS29" s="69" t="n"/>
      <c r="BT29" s="71" t="n"/>
      <c r="BU29" s="71" t="n"/>
      <c r="BV29" s="71" t="n"/>
      <c r="BW29" s="71" t="n">
        <v>2</v>
      </c>
      <c r="BX29" s="273" t="n"/>
      <c r="BZ29" s="274">
        <f>+E29+K29+Q29+W29+AC29+AI29+AO29+AU29+BA29+BG29+BM29+BS29</f>
        <v/>
      </c>
      <c r="CA29" s="275">
        <f>+F29+L29+R29+X29+AD29+AJ29+AP29+AV29+BB29+BH29+BN29+BT29</f>
        <v/>
      </c>
      <c r="CB29" s="275">
        <f>+G29+M29+S29+Y29+AE29+AK29+AQ29+AW29+BC29+BI29+BO29+BU29</f>
        <v/>
      </c>
      <c r="CC29" s="275">
        <f>+H29+N29+T29+Z29+AF29+AL29+AR29+AX29+BD29+BJ29+BP29+BV29</f>
        <v/>
      </c>
      <c r="CD29" s="276">
        <f>+I29+O29+U29+AA29+AG29+AM29+AS29+AY29+BE29+BK29+BQ29+BW29</f>
        <v/>
      </c>
      <c r="CE29" s="142">
        <f>+J29+P29+V29+AB29+AH29+AN29+AT29+AZ29+BF29+BL29+BR29+BX29</f>
        <v/>
      </c>
    </row>
    <row r="30">
      <c r="A30" s="71" t="n">
        <v>26</v>
      </c>
      <c r="B30" s="137" t="inlineStr">
        <is>
          <t>นาย</t>
        </is>
      </c>
      <c r="C30" s="64" t="inlineStr">
        <is>
          <t>เวียง</t>
        </is>
      </c>
      <c r="D30" s="14" t="inlineStr">
        <is>
          <t>น้ำทิพย์</t>
        </is>
      </c>
      <c r="E30" s="69" t="n">
        <v>2</v>
      </c>
      <c r="F30" s="71" t="n"/>
      <c r="G30" s="71" t="n"/>
      <c r="H30" s="71" t="n"/>
      <c r="I30" s="71" t="n"/>
      <c r="J30" s="279" t="n"/>
      <c r="K30" s="82" t="n"/>
      <c r="L30" s="84" t="n"/>
      <c r="M30" s="84" t="n"/>
      <c r="N30" s="84" t="n"/>
      <c r="O30" s="84" t="n"/>
      <c r="P30" s="273" t="n"/>
      <c r="Q30" s="82" t="n"/>
      <c r="R30" s="84" t="n"/>
      <c r="S30" s="84" t="n"/>
      <c r="T30" s="84" t="n"/>
      <c r="U30" s="84" t="n"/>
      <c r="V30" s="278" t="n"/>
      <c r="W30" s="95" t="n">
        <v>1</v>
      </c>
      <c r="X30" s="71" t="n">
        <v>1</v>
      </c>
      <c r="Y30" s="71" t="n"/>
      <c r="Z30" s="71" t="n">
        <v>0.5</v>
      </c>
      <c r="AA30" s="71" t="n">
        <v>2</v>
      </c>
      <c r="AB30" s="273" t="n"/>
      <c r="AC30" s="69" t="n">
        <v>1</v>
      </c>
      <c r="AD30" s="71" t="n"/>
      <c r="AE30" s="71" t="n"/>
      <c r="AF30" s="71" t="n"/>
      <c r="AG30" s="71" t="n"/>
      <c r="AH30" s="273" t="n"/>
      <c r="AI30" s="69" t="n"/>
      <c r="AJ30" s="71" t="n">
        <v>0.5</v>
      </c>
      <c r="AK30" s="71" t="n"/>
      <c r="AL30" s="71" t="n"/>
      <c r="AM30" s="71" t="n"/>
      <c r="AN30" s="273" t="n"/>
      <c r="AO30" s="69" t="n"/>
      <c r="AP30" s="71" t="n">
        <v>1</v>
      </c>
      <c r="AQ30" s="71" t="n"/>
      <c r="AR30" s="71" t="n"/>
      <c r="AS30" s="71" t="n"/>
      <c r="AT30" s="273" t="n"/>
      <c r="AU30" s="69" t="n"/>
      <c r="AV30" s="71" t="n"/>
      <c r="AW30" s="71" t="n"/>
      <c r="AX30" s="71" t="n"/>
      <c r="AY30" s="71" t="n"/>
      <c r="AZ30" s="273" t="n"/>
      <c r="BA30" s="69" t="n"/>
      <c r="BB30" s="71" t="n">
        <v>1.5</v>
      </c>
      <c r="BC30" s="71" t="n"/>
      <c r="BD30" s="71" t="n"/>
      <c r="BE30" s="71" t="n"/>
      <c r="BF30" s="273" t="n"/>
      <c r="BG30" s="69" t="n"/>
      <c r="BH30" s="71" t="n"/>
      <c r="BI30" s="71" t="n"/>
      <c r="BJ30" s="71" t="n"/>
      <c r="BK30" s="71" t="n"/>
      <c r="BL30" s="273" t="n"/>
      <c r="BM30" s="69" t="n">
        <v>1</v>
      </c>
      <c r="BN30" s="71" t="n">
        <v>2</v>
      </c>
      <c r="BO30" s="71" t="n"/>
      <c r="BP30" s="71" t="n"/>
      <c r="BQ30" s="71" t="n"/>
      <c r="BR30" s="273" t="n"/>
      <c r="BS30" s="69" t="n">
        <v>1</v>
      </c>
      <c r="BT30" s="71" t="n"/>
      <c r="BU30" s="71" t="n"/>
      <c r="BV30" s="71" t="n"/>
      <c r="BW30" s="71" t="n">
        <v>4</v>
      </c>
      <c r="BX30" s="273" t="n"/>
      <c r="BZ30" s="274">
        <f>+E30+K30+Q30+W30+AC30+AI30+AO30+AU30+BA30+BG30+BM30+BS30</f>
        <v/>
      </c>
      <c r="CA30" s="275">
        <f>+F30+L30+R30+X30+AD30+AJ30+AP30+AV30+BB30+BH30+BN30+BT30</f>
        <v/>
      </c>
      <c r="CB30" s="275">
        <f>+G30+M30+S30+Y30+AE30+AK30+AQ30+AW30+BC30+BI30+BO30+BU30</f>
        <v/>
      </c>
      <c r="CC30" s="275">
        <f>+H30+N30+T30+Z30+AF30+AL30+AR30+AX30+BD30+BJ30+BP30+BV30</f>
        <v/>
      </c>
      <c r="CD30" s="276">
        <f>+I30+O30+U30+AA30+AG30+AM30+AS30+AY30+BE30+BK30+BQ30+BW30</f>
        <v/>
      </c>
      <c r="CE30" s="142">
        <f>+J30+P30+V30+AB30+AH30+AN30+AT30+AZ30+BF30+BL30+BR30+BX30</f>
        <v/>
      </c>
    </row>
    <row r="31">
      <c r="A31" s="71" t="n">
        <v>27</v>
      </c>
      <c r="B31" s="137" t="inlineStr">
        <is>
          <t>นาย</t>
        </is>
      </c>
      <c r="C31" s="64" t="inlineStr">
        <is>
          <t>สมพงษ์</t>
        </is>
      </c>
      <c r="D31" s="14" t="inlineStr">
        <is>
          <t>พึ่งแย้ม</t>
        </is>
      </c>
      <c r="E31" s="69" t="n"/>
      <c r="F31" s="69" t="n">
        <v>1</v>
      </c>
      <c r="G31" s="71" t="n"/>
      <c r="H31" s="71" t="n"/>
      <c r="I31" s="71" t="n"/>
      <c r="J31" s="279" t="n"/>
      <c r="K31" s="69" t="n">
        <v>2</v>
      </c>
      <c r="L31" s="71" t="n"/>
      <c r="M31" s="71" t="n"/>
      <c r="N31" s="71" t="n"/>
      <c r="O31" s="71" t="n"/>
      <c r="P31" s="273" t="n"/>
      <c r="Q31" s="69" t="n">
        <v>2</v>
      </c>
      <c r="R31" s="71" t="n">
        <v>3</v>
      </c>
      <c r="S31" s="71" t="n"/>
      <c r="T31" s="71" t="n">
        <v>0.5</v>
      </c>
      <c r="U31" s="71" t="n"/>
      <c r="V31" s="273" t="n"/>
      <c r="W31" s="95" t="n"/>
      <c r="X31" s="71" t="n">
        <v>1</v>
      </c>
      <c r="Y31" s="71" t="n"/>
      <c r="Z31" s="71" t="n"/>
      <c r="AA31" s="71" t="n"/>
      <c r="AB31" s="273" t="n"/>
      <c r="AC31" s="69" t="n">
        <v>2</v>
      </c>
      <c r="AD31" s="71" t="n">
        <v>1</v>
      </c>
      <c r="AE31" s="71" t="n"/>
      <c r="AF31" s="71" t="n"/>
      <c r="AG31" s="71" t="n"/>
      <c r="AH31" s="273" t="n"/>
      <c r="AI31" s="69" t="n">
        <v>6</v>
      </c>
      <c r="AJ31" s="71" t="n"/>
      <c r="AK31" s="71" t="n"/>
      <c r="AL31" s="71" t="n"/>
      <c r="AM31" s="71" t="n">
        <v>3</v>
      </c>
      <c r="AN31" s="273" t="n"/>
      <c r="AO31" s="69" t="n">
        <v>2</v>
      </c>
      <c r="AP31" s="71" t="n"/>
      <c r="AQ31" s="71" t="n">
        <v>1.5</v>
      </c>
      <c r="AR31" s="71" t="n"/>
      <c r="AS31" s="71" t="n">
        <v>1</v>
      </c>
      <c r="AT31" s="273" t="n"/>
      <c r="AU31" s="69" t="n"/>
      <c r="AV31" s="71" t="n"/>
      <c r="AW31" s="71" t="n"/>
      <c r="AX31" s="71" t="n"/>
      <c r="AY31" s="71" t="n"/>
      <c r="AZ31" s="273" t="n"/>
      <c r="BA31" s="69" t="n">
        <v>1</v>
      </c>
      <c r="BB31" s="71" t="n"/>
      <c r="BC31" s="71" t="n">
        <v>3</v>
      </c>
      <c r="BD31" s="71" t="n"/>
      <c r="BE31" s="71" t="n"/>
      <c r="BF31" s="273" t="n"/>
      <c r="BG31" s="69" t="n">
        <v>1</v>
      </c>
      <c r="BH31" s="71" t="n"/>
      <c r="BI31" s="71" t="n"/>
      <c r="BJ31" s="71" t="n"/>
      <c r="BK31" s="71" t="n"/>
      <c r="BL31" s="273" t="n"/>
      <c r="BM31" s="69" t="n"/>
      <c r="BN31" s="71" t="n"/>
      <c r="BO31" s="71" t="n"/>
      <c r="BP31" s="71" t="n"/>
      <c r="BQ31" s="71" t="n"/>
      <c r="BR31" s="273" t="n"/>
      <c r="BS31" s="69" t="n">
        <v>1</v>
      </c>
      <c r="BT31" s="71" t="n"/>
      <c r="BU31" s="71" t="n">
        <v>0.5</v>
      </c>
      <c r="BV31" s="71" t="n"/>
      <c r="BW31" s="71" t="n">
        <v>2</v>
      </c>
      <c r="BX31" s="273" t="n"/>
      <c r="BZ31" s="274">
        <f>+E31+K31+Q31+W31+AC31+AI31+AO31+AU31+BA31+BG31+BM31+BS31</f>
        <v/>
      </c>
      <c r="CA31" s="275">
        <f>+F31+L31+R31+X31+AD31+AJ31+AP31+AV31+BB31+BH31+BN31+BT31</f>
        <v/>
      </c>
      <c r="CB31" s="275">
        <f>+G31+M31+S31+Y31+AE31+AK31+AQ31+AW31+BC31+BI31+BO31+BU31</f>
        <v/>
      </c>
      <c r="CC31" s="275">
        <f>+H31+N31+T31+Z31+AF31+AL31+AR31+AX31+BD31+BJ31+BP31+BV31</f>
        <v/>
      </c>
      <c r="CD31" s="276">
        <f>+I31+O31+U31+AA31+AG31+AM31+AS31+AY31+BE31+BK31+BQ31+BW31</f>
        <v/>
      </c>
      <c r="CE31" s="142">
        <f>+J31+P31+V31+AB31+AH31+AN31+AT31+AZ31+BF31+BL31+BR31+BX31</f>
        <v/>
      </c>
    </row>
    <row r="32" ht="21" customHeight="1">
      <c r="A32" s="71" t="n">
        <v>28</v>
      </c>
      <c r="B32" s="137" t="inlineStr">
        <is>
          <t>นาย</t>
        </is>
      </c>
      <c r="C32" s="64" t="inlineStr">
        <is>
          <t>สมพงษ์</t>
        </is>
      </c>
      <c r="D32" s="14" t="inlineStr">
        <is>
          <t>สิงห์พันธ์ม่วง</t>
        </is>
      </c>
      <c r="E32" s="69" t="n">
        <v>2</v>
      </c>
      <c r="F32" s="71" t="n"/>
      <c r="G32" s="71" t="n"/>
      <c r="H32" s="71" t="n"/>
      <c r="I32" s="71" t="n"/>
      <c r="J32" s="278" t="n"/>
      <c r="K32" s="69" t="n">
        <v>2</v>
      </c>
      <c r="L32" s="71" t="n">
        <v>0.5</v>
      </c>
      <c r="M32" s="71" t="n"/>
      <c r="N32" s="71" t="n"/>
      <c r="O32" s="71" t="n"/>
      <c r="P32" s="273" t="n"/>
      <c r="Q32" s="82" t="n">
        <v>2</v>
      </c>
      <c r="R32" s="84" t="n">
        <v>2</v>
      </c>
      <c r="S32" s="84" t="n"/>
      <c r="T32" s="84" t="n"/>
      <c r="U32" s="84" t="n">
        <v>2</v>
      </c>
      <c r="V32" s="278" t="n"/>
      <c r="W32" s="95" t="n">
        <v>1</v>
      </c>
      <c r="X32" s="71" t="n">
        <v>3</v>
      </c>
      <c r="Y32" s="71" t="n"/>
      <c r="Z32" s="71" t="n"/>
      <c r="AA32" s="71" t="n">
        <v>1</v>
      </c>
      <c r="AB32" s="273" t="n"/>
      <c r="AC32" s="69" t="n">
        <v>5</v>
      </c>
      <c r="AD32" s="71" t="n"/>
      <c r="AE32" s="71" t="n"/>
      <c r="AF32" s="71" t="n">
        <v>3</v>
      </c>
      <c r="AG32" s="71" t="n"/>
      <c r="AH32" s="273" t="n"/>
      <c r="AI32" s="69" t="n">
        <v>4</v>
      </c>
      <c r="AJ32" s="71" t="n"/>
      <c r="AK32" s="71" t="n"/>
      <c r="AL32" s="71" t="n">
        <v>2</v>
      </c>
      <c r="AM32" s="71" t="n"/>
      <c r="AN32" s="273" t="n"/>
      <c r="AO32" s="69" t="n">
        <v>4</v>
      </c>
      <c r="AP32" s="71" t="n"/>
      <c r="AQ32" s="71" t="n">
        <v>1</v>
      </c>
      <c r="AR32" s="71" t="n"/>
      <c r="AS32" s="71" t="n"/>
      <c r="AT32" s="273" t="n"/>
      <c r="AU32" s="69" t="n">
        <v>4</v>
      </c>
      <c r="AV32" s="71" t="n">
        <v>0.5</v>
      </c>
      <c r="AW32" s="71" t="n"/>
      <c r="AX32" s="71" t="n"/>
      <c r="AY32" s="71" t="n"/>
      <c r="AZ32" s="273" t="n"/>
      <c r="BA32" s="69" t="n">
        <v>1</v>
      </c>
      <c r="BB32" s="71" t="n"/>
      <c r="BC32" s="71" t="n"/>
      <c r="BD32" s="71" t="n"/>
      <c r="BE32" s="71" t="n"/>
      <c r="BF32" s="273" t="n"/>
      <c r="BG32" s="69" t="n">
        <v>1</v>
      </c>
      <c r="BH32" s="71" t="n"/>
      <c r="BI32" s="71" t="n"/>
      <c r="BJ32" s="71" t="n">
        <v>1.5</v>
      </c>
      <c r="BK32" s="71" t="n">
        <v>1</v>
      </c>
      <c r="BL32" s="273" t="n"/>
      <c r="BM32" s="69" t="n">
        <v>4</v>
      </c>
      <c r="BN32" s="71" t="n"/>
      <c r="BO32" s="71" t="n"/>
      <c r="BP32" s="71" t="n"/>
      <c r="BQ32" s="71" t="n"/>
      <c r="BR32" s="273" t="n"/>
      <c r="BS32" s="69" t="n">
        <v>2</v>
      </c>
      <c r="BT32" s="71" t="n"/>
      <c r="BU32" s="71" t="n"/>
      <c r="BV32" s="71" t="n"/>
      <c r="BW32" s="71" t="n">
        <v>2</v>
      </c>
      <c r="BX32" s="273" t="n"/>
      <c r="BZ32" s="274">
        <f>+E32+K32+Q32+W32+AC32+AI32+AO32+AU32+BA32+BG32+BM32+BS32</f>
        <v/>
      </c>
      <c r="CA32" s="275">
        <f>+F32+L32+R32+X32+AD32+AJ32+AP32+AV32+BB32+BH32+BN32+BT32</f>
        <v/>
      </c>
      <c r="CB32" s="275">
        <f>+G32+M32+S32+Y32+AE32+AK32+AQ32+AW32+BC32+BI32+BO32+BU32</f>
        <v/>
      </c>
      <c r="CC32" s="275">
        <f>+H32+N32+T32+Z32+AF32+AL32+AR32+AX32+BD32+BJ32+BP32+BV32</f>
        <v/>
      </c>
      <c r="CD32" s="276">
        <f>+I32+O32+U32+AA32+AG32+AM32+AS32+AY32+BE32+BK32+BQ32+BW32</f>
        <v/>
      </c>
      <c r="CE32" s="142">
        <f>+J32+P32+V32+AB32+AH32+AN32+AT32+AZ32+BF32+BL32+BR32+BX32</f>
        <v/>
      </c>
      <c r="CF32" s="215" t="n"/>
    </row>
    <row r="33">
      <c r="A33" s="71" t="n">
        <v>30</v>
      </c>
      <c r="B33" s="137" t="inlineStr">
        <is>
          <t>นาย</t>
        </is>
      </c>
      <c r="C33" s="64" t="inlineStr">
        <is>
          <t>สาธิต</t>
        </is>
      </c>
      <c r="D33" s="14" t="inlineStr">
        <is>
          <t>คล้ายสอน</t>
        </is>
      </c>
      <c r="E33" s="69" t="n"/>
      <c r="F33" s="71" t="n"/>
      <c r="G33" s="71" t="n"/>
      <c r="H33" s="71" t="n"/>
      <c r="I33" s="71" t="n"/>
      <c r="J33" s="273" t="n">
        <v>0.0006944444444444445</v>
      </c>
      <c r="K33" s="82" t="n"/>
      <c r="L33" s="84" t="n"/>
      <c r="M33" s="84" t="n"/>
      <c r="N33" s="84" t="n"/>
      <c r="O33" s="84" t="n"/>
      <c r="P33" s="278" t="n">
        <v>0.0006944444444444445</v>
      </c>
      <c r="Q33" s="82" t="n"/>
      <c r="R33" s="84" t="n">
        <v>0.5</v>
      </c>
      <c r="S33" s="84" t="n"/>
      <c r="T33" s="84" t="n"/>
      <c r="U33" s="84" t="n"/>
      <c r="V33" s="278" t="n"/>
      <c r="W33" s="95" t="n">
        <v>1.5</v>
      </c>
      <c r="X33" s="71" t="n"/>
      <c r="Y33" s="71" t="n"/>
      <c r="Z33" s="71" t="n"/>
      <c r="AA33" s="71" t="n">
        <v>2</v>
      </c>
      <c r="AB33" s="273" t="n"/>
      <c r="AC33" s="69" t="n">
        <v>1</v>
      </c>
      <c r="AD33" s="71" t="n">
        <v>2</v>
      </c>
      <c r="AE33" s="71" t="n"/>
      <c r="AF33" s="71" t="n"/>
      <c r="AG33" s="71" t="n">
        <v>1</v>
      </c>
      <c r="AH33" s="273" t="n"/>
      <c r="AI33" s="69" t="n"/>
      <c r="AJ33" s="71" t="n"/>
      <c r="AK33" s="71" t="n"/>
      <c r="AL33" s="71" t="n"/>
      <c r="AM33" s="71" t="n">
        <v>3</v>
      </c>
      <c r="AN33" s="273" t="n"/>
      <c r="AO33" s="69" t="n"/>
      <c r="AP33" s="71" t="n">
        <v>1</v>
      </c>
      <c r="AQ33" s="71" t="n"/>
      <c r="AR33" s="71" t="n"/>
      <c r="AS33" s="71" t="n"/>
      <c r="AT33" s="273" t="n"/>
      <c r="AU33" s="69" t="n"/>
      <c r="AV33" s="71" t="n"/>
      <c r="AW33" s="71" t="n"/>
      <c r="AX33" s="71" t="n"/>
      <c r="AY33" s="71" t="n"/>
      <c r="AZ33" s="273" t="n"/>
      <c r="BA33" s="69" t="n"/>
      <c r="BB33" s="71" t="n"/>
      <c r="BC33" s="71" t="n"/>
      <c r="BD33" s="71" t="n"/>
      <c r="BE33" s="71" t="n"/>
      <c r="BF33" s="273" t="n"/>
      <c r="BG33" s="69" t="n"/>
      <c r="BH33" s="71" t="n">
        <v>1</v>
      </c>
      <c r="BI33" s="71" t="n"/>
      <c r="BJ33" s="71" t="n"/>
      <c r="BK33" s="71" t="n"/>
      <c r="BL33" s="273" t="n"/>
      <c r="BM33" s="69" t="n">
        <v>5</v>
      </c>
      <c r="BN33" s="71" t="n">
        <v>1</v>
      </c>
      <c r="BO33" s="71" t="n"/>
      <c r="BP33" s="71" t="n"/>
      <c r="BQ33" s="71" t="n"/>
      <c r="BR33" s="273" t="n"/>
      <c r="BS33" s="69" t="n"/>
      <c r="BT33" s="71" t="n">
        <v>0.5</v>
      </c>
      <c r="BU33" s="71" t="n"/>
      <c r="BV33" s="71" t="n"/>
      <c r="BW33" s="71" t="n"/>
      <c r="BX33" s="273" t="n"/>
      <c r="BZ33" s="274">
        <f>+E34+K34+Q34+W34+AC34+AI34+AO34+AU34+BA34+BG34+BM34+BS34</f>
        <v/>
      </c>
      <c r="CA33" s="275">
        <f>+F34+L34+R34+X34+AD34+AJ34+AP34+AV34+BB34+BH34+BN34+BT34</f>
        <v/>
      </c>
      <c r="CB33" s="275">
        <f>+G34+M34+S34+Y34+AE34+AK34+AQ34+AW34+BC34+BI34+BO34+BU34</f>
        <v/>
      </c>
      <c r="CC33" s="275">
        <f>+H34+N34+T34+Z34+AF34+AL34+AR34+AX34+BD34+BJ34+BP34+BV34</f>
        <v/>
      </c>
      <c r="CD33" s="276">
        <f>+I34+O34+U34+AA34+AG34+AM34+AS34+AY34+BE34+BK34+BQ34+BW34</f>
        <v/>
      </c>
      <c r="CE33" s="142">
        <f>+J34+P34+V34+AB34+AH34+AN34+AT34+AZ34+BF34+BL34+BR34+BX34</f>
        <v/>
      </c>
    </row>
    <row r="34">
      <c r="A34" s="71" t="n">
        <v>31</v>
      </c>
      <c r="B34" s="137" t="inlineStr">
        <is>
          <t>นาย</t>
        </is>
      </c>
      <c r="C34" s="64" t="inlineStr">
        <is>
          <t>สำเนา</t>
        </is>
      </c>
      <c r="D34" s="14" t="inlineStr">
        <is>
          <t>เอี่ยมสะอาด</t>
        </is>
      </c>
      <c r="E34" s="69" t="n"/>
      <c r="F34" s="71" t="n">
        <v>2</v>
      </c>
      <c r="G34" s="71" t="n"/>
      <c r="H34" s="71" t="n"/>
      <c r="I34" s="71" t="n"/>
      <c r="J34" s="273" t="n"/>
      <c r="K34" s="69" t="n"/>
      <c r="L34" s="71" t="n">
        <v>1</v>
      </c>
      <c r="M34" s="71" t="n"/>
      <c r="N34" s="71" t="n"/>
      <c r="O34" s="71" t="n"/>
      <c r="P34" s="273" t="n"/>
      <c r="Q34" s="82" t="n"/>
      <c r="R34" s="84" t="n">
        <v>2</v>
      </c>
      <c r="S34" s="84" t="n"/>
      <c r="T34" s="84" t="n">
        <v>0.5</v>
      </c>
      <c r="U34" s="84" t="n"/>
      <c r="V34" s="278" t="n"/>
      <c r="W34" s="69" t="n"/>
      <c r="X34" s="71" t="n">
        <v>0.5</v>
      </c>
      <c r="Y34" s="71" t="n"/>
      <c r="Z34" s="71" t="n"/>
      <c r="AA34" s="71" t="n"/>
      <c r="AB34" s="273" t="n"/>
      <c r="AC34" s="69" t="n"/>
      <c r="AD34" s="71" t="n"/>
      <c r="AE34" s="71" t="n"/>
      <c r="AF34" s="71" t="n"/>
      <c r="AG34" s="71" t="n"/>
      <c r="AH34" s="273" t="n"/>
      <c r="AI34" s="69" t="n"/>
      <c r="AJ34" s="71" t="n"/>
      <c r="AK34" s="71" t="n"/>
      <c r="AL34" s="71" t="n"/>
      <c r="AM34" s="71" t="n">
        <v>1</v>
      </c>
      <c r="AN34" s="273" t="n"/>
      <c r="AO34" s="69" t="n"/>
      <c r="AP34" s="71" t="n"/>
      <c r="AQ34" s="71" t="n"/>
      <c r="AR34" s="71" t="n"/>
      <c r="AS34" s="71" t="n">
        <v>1</v>
      </c>
      <c r="AT34" s="273" t="n"/>
      <c r="AU34" s="69" t="n"/>
      <c r="AV34" s="71" t="n"/>
      <c r="AW34" s="71" t="n"/>
      <c r="AX34" s="71" t="n"/>
      <c r="AY34" s="71" t="n"/>
      <c r="AZ34" s="273" t="n"/>
      <c r="BA34" s="69" t="n"/>
      <c r="BB34" s="71" t="n"/>
      <c r="BC34" s="71" t="n"/>
      <c r="BD34" s="71" t="n"/>
      <c r="BE34" s="71" t="n"/>
      <c r="BF34" s="273" t="n"/>
      <c r="BG34" s="69" t="n"/>
      <c r="BH34" s="71" t="n"/>
      <c r="BI34" s="71" t="n"/>
      <c r="BJ34" s="71" t="n"/>
      <c r="BK34" s="71" t="n"/>
      <c r="BL34" s="273" t="n"/>
      <c r="BM34" s="69" t="n"/>
      <c r="BN34" s="71" t="n">
        <v>0.5</v>
      </c>
      <c r="BO34" s="71" t="n"/>
      <c r="BP34" s="71" t="n"/>
      <c r="BQ34" s="71" t="n"/>
      <c r="BR34" s="273" t="n"/>
      <c r="BS34" s="69" t="n"/>
      <c r="BT34" s="71" t="n"/>
      <c r="BU34" s="71" t="n">
        <v>2.5</v>
      </c>
      <c r="BV34" s="71" t="n"/>
      <c r="BW34" s="71" t="n">
        <v>4</v>
      </c>
      <c r="BX34" s="273" t="n"/>
      <c r="BZ34" s="274">
        <f>+E35+K35+Q35+W35+AC35+AI35+AO35+AU35+BA35+BG35+BM35+BS35</f>
        <v/>
      </c>
      <c r="CA34" s="275">
        <f>+F35+L35+R35+X35+AD35+AJ35+AP35+AV35+BB35+BH35+BN35+BT35</f>
        <v/>
      </c>
      <c r="CB34" s="275">
        <f>+G35+M35+S35+Y35+AE35+AK35+AQ35+AW35+BC35+BI35+BO35+BU35</f>
        <v/>
      </c>
      <c r="CC34" s="275">
        <f>+H35+N35+T35+Z35+AF35+AL35+AR35+AX35+BD35+BJ35+BP35+BV35</f>
        <v/>
      </c>
      <c r="CD34" s="276">
        <f>+I35+O35+U35+AA35+AG35+AM35+AS35+AY35+BE35+BK35+BQ35+BW35</f>
        <v/>
      </c>
      <c r="CE34" s="142">
        <f>+J35+P35+V35+AB35+AH35+AN35+AT35+AZ35+BF35+BL35+BR35+BX35</f>
        <v/>
      </c>
    </row>
    <row r="35">
      <c r="A35" s="71" t="n">
        <v>32</v>
      </c>
      <c r="B35" s="137" t="inlineStr">
        <is>
          <t>นาย</t>
        </is>
      </c>
      <c r="C35" s="74" t="inlineStr">
        <is>
          <t>สำราญ</t>
        </is>
      </c>
      <c r="D35" s="107" t="inlineStr">
        <is>
          <t>เข็มเงิน</t>
        </is>
      </c>
      <c r="E35" s="69" t="n">
        <v>1</v>
      </c>
      <c r="F35" s="71" t="n">
        <v>1</v>
      </c>
      <c r="G35" s="71" t="n"/>
      <c r="H35" s="71" t="n"/>
      <c r="I35" s="71" t="n"/>
      <c r="J35" s="273" t="n"/>
      <c r="K35" s="69" t="n"/>
      <c r="L35" s="71" t="n"/>
      <c r="M35" s="71" t="n"/>
      <c r="N35" s="71" t="n"/>
      <c r="O35" s="71" t="n"/>
      <c r="P35" s="273" t="n"/>
      <c r="Q35" s="69" t="n"/>
      <c r="R35" s="71" t="n"/>
      <c r="S35" s="71" t="n"/>
      <c r="T35" s="71" t="n"/>
      <c r="U35" s="71" t="n">
        <v>1</v>
      </c>
      <c r="V35" s="273" t="n"/>
      <c r="W35" s="69" t="n"/>
      <c r="X35" s="71" t="n"/>
      <c r="Y35" s="71" t="n"/>
      <c r="Z35" s="71" t="n"/>
      <c r="AA35" s="71" t="n"/>
      <c r="AB35" s="273" t="n"/>
      <c r="AC35" s="69" t="n"/>
      <c r="AD35" s="71" t="n"/>
      <c r="AE35" s="71" t="n"/>
      <c r="AF35" s="71" t="n"/>
      <c r="AG35" s="71" t="n"/>
      <c r="AH35" s="273" t="n"/>
      <c r="AI35" s="69" t="n">
        <v>1</v>
      </c>
      <c r="AJ35" s="71" t="n"/>
      <c r="AK35" s="71" t="n"/>
      <c r="AL35" s="71" t="n"/>
      <c r="AM35" s="71" t="n"/>
      <c r="AN35" s="273" t="n"/>
      <c r="AO35" s="69" t="n"/>
      <c r="AP35" s="71" t="n">
        <v>1</v>
      </c>
      <c r="AQ35" s="71" t="n"/>
      <c r="AR35" s="71" t="n"/>
      <c r="AS35" s="71" t="n"/>
      <c r="AT35" s="273" t="n"/>
      <c r="AU35" s="69" t="n"/>
      <c r="AV35" s="71" t="n">
        <v>1.5</v>
      </c>
      <c r="AW35" s="71" t="n"/>
      <c r="AX35" s="71" t="n"/>
      <c r="AY35" s="71" t="n">
        <v>1</v>
      </c>
      <c r="AZ35" s="273" t="n"/>
      <c r="BA35" s="69" t="n"/>
      <c r="BB35" s="71" t="n"/>
      <c r="BC35" s="71" t="n"/>
      <c r="BD35" s="71" t="n"/>
      <c r="BE35" s="71" t="n"/>
      <c r="BF35" s="273" t="n"/>
      <c r="BG35" s="69" t="n"/>
      <c r="BH35" s="71" t="n"/>
      <c r="BI35" s="71" t="n"/>
      <c r="BJ35" s="71" t="n"/>
      <c r="BK35" s="71" t="n"/>
      <c r="BL35" s="273" t="n"/>
      <c r="BM35" s="69" t="n"/>
      <c r="BN35" s="71" t="n"/>
      <c r="BO35" s="71" t="n"/>
      <c r="BP35" s="71" t="n"/>
      <c r="BQ35" s="71" t="n"/>
      <c r="BR35" s="273" t="n"/>
      <c r="BS35" s="69" t="n"/>
      <c r="BT35" s="71" t="n">
        <v>2</v>
      </c>
      <c r="BU35" s="71" t="n"/>
      <c r="BV35" s="71" t="n"/>
      <c r="BW35" s="71" t="n">
        <v>4</v>
      </c>
      <c r="BX35" s="273" t="n"/>
      <c r="BZ35" s="274">
        <f>+E36+K36+Q36+W36+AC36+AI36+AO36+AU36+BA36+BG36+BM36+BS36</f>
        <v/>
      </c>
      <c r="CA35" s="275">
        <f>+F36+L36+R36+X36+AD36+AJ36+AP36+AV36+BB36+BH36+BN36+BT36</f>
        <v/>
      </c>
      <c r="CB35" s="275">
        <f>+G36+M36+S36+Y36+AE36+AK36+AQ36+AW36+BC36+BI36+BO36+BU36</f>
        <v/>
      </c>
      <c r="CC35" s="275">
        <f>+H36+N36+T36+Z36+AF36+AL36+AR36+AX36+BD36+BJ36+BP36+BV36</f>
        <v/>
      </c>
      <c r="CD35" s="276">
        <f>+I36+O36+U36+AA36+AG36+AM36+AS36+AY36+BE36+BK36+BQ36+BW36</f>
        <v/>
      </c>
      <c r="CE35" s="142">
        <f>+J36+P36+V36+AB36+AH36+AN36+AT36+AZ36+BF36+BL36+BR36+BX36</f>
        <v/>
      </c>
    </row>
    <row r="36">
      <c r="A36" s="71" t="n">
        <v>33</v>
      </c>
      <c r="B36" s="137" t="inlineStr">
        <is>
          <t>นาย</t>
        </is>
      </c>
      <c r="C36" s="64" t="inlineStr">
        <is>
          <t>สุชัย</t>
        </is>
      </c>
      <c r="D36" s="14" t="inlineStr">
        <is>
          <t>ใจเย็น</t>
        </is>
      </c>
      <c r="E36" s="69" t="n">
        <v>1</v>
      </c>
      <c r="F36" s="71" t="n"/>
      <c r="G36" s="71" t="n"/>
      <c r="H36" s="71" t="n"/>
      <c r="I36" s="71" t="n"/>
      <c r="J36" s="273" t="n"/>
      <c r="K36" s="69" t="n"/>
      <c r="L36" s="71" t="n"/>
      <c r="M36" s="71" t="n"/>
      <c r="N36" s="71" t="n"/>
      <c r="O36" s="71" t="n"/>
      <c r="P36" s="273" t="n"/>
      <c r="Q36" s="69" t="n"/>
      <c r="R36" s="71" t="n"/>
      <c r="S36" s="71" t="n"/>
      <c r="T36" s="71" t="n"/>
      <c r="U36" s="71" t="n"/>
      <c r="V36" s="273" t="n"/>
      <c r="W36" s="69" t="n"/>
      <c r="X36" s="71" t="n">
        <v>2</v>
      </c>
      <c r="Y36" s="71" t="n"/>
      <c r="Z36" s="71" t="n"/>
      <c r="AA36" s="71" t="n"/>
      <c r="AB36" s="273" t="n"/>
      <c r="AC36" s="69" t="n"/>
      <c r="AD36" s="71" t="n">
        <v>2</v>
      </c>
      <c r="AE36" s="71" t="n"/>
      <c r="AF36" s="71" t="n"/>
      <c r="AG36" s="71" t="n"/>
      <c r="AH36" s="273" t="n"/>
      <c r="AI36" s="69" t="n"/>
      <c r="AJ36" s="71" t="n"/>
      <c r="AK36" s="71" t="n"/>
      <c r="AL36" s="71" t="n"/>
      <c r="AM36" s="71" t="n">
        <v>1</v>
      </c>
      <c r="AN36" s="273" t="n"/>
      <c r="AO36" s="69" t="n"/>
      <c r="AP36" s="71" t="n">
        <v>0.5</v>
      </c>
      <c r="AQ36" s="71" t="n"/>
      <c r="AR36" s="71" t="n"/>
      <c r="AS36" s="71" t="n"/>
      <c r="AT36" s="273" t="n"/>
      <c r="AU36" s="69" t="n"/>
      <c r="AV36" s="71" t="n"/>
      <c r="AW36" s="71" t="n"/>
      <c r="AX36" s="71" t="n"/>
      <c r="AY36" s="71" t="n">
        <v>1</v>
      </c>
      <c r="AZ36" s="273" t="n"/>
      <c r="BA36" s="69" t="n"/>
      <c r="BB36" s="71" t="n">
        <v>0.5</v>
      </c>
      <c r="BC36" s="71" t="n"/>
      <c r="BD36" s="71" t="n"/>
      <c r="BE36" s="71" t="n"/>
      <c r="BF36" s="273" t="n"/>
      <c r="BG36" s="69" t="n"/>
      <c r="BH36" s="71" t="n">
        <v>1</v>
      </c>
      <c r="BI36" s="71" t="n"/>
      <c r="BJ36" s="71" t="n"/>
      <c r="BK36" s="71" t="n">
        <v>1</v>
      </c>
      <c r="BL36" s="273" t="n"/>
      <c r="BM36" s="69" t="n"/>
      <c r="BN36" s="71" t="n"/>
      <c r="BO36" s="71" t="n"/>
      <c r="BP36" s="71" t="n"/>
      <c r="BQ36" s="71" t="n"/>
      <c r="BR36" s="273" t="n"/>
      <c r="BS36" s="69" t="n"/>
      <c r="BT36" s="71" t="n"/>
      <c r="BU36" s="71" t="n"/>
      <c r="BV36" s="71" t="n"/>
      <c r="BW36" s="71" t="n">
        <v>2</v>
      </c>
      <c r="BX36" s="273" t="n"/>
      <c r="BZ36" s="274">
        <f>+E37+K37+Q37+W37+AC37+AI37+AO37+AU37+BA37+BG37+BM37+BS37</f>
        <v/>
      </c>
      <c r="CA36" s="275">
        <f>+F37+L37+R37+X37+AD37+AJ37+AP37+AV37+BB37+BH37+BN37+BT37</f>
        <v/>
      </c>
      <c r="CB36" s="275">
        <f>+G37+M37+S37+Y37+AE37+AK37+AQ37+AW37+BC37+BI37+BO37+BU37</f>
        <v/>
      </c>
      <c r="CC36" s="275">
        <f>+H37+N37+T37+Z37+AF37+AL37+AR37+AX37+BD37+BJ37+BP37+BV37</f>
        <v/>
      </c>
      <c r="CD36" s="276">
        <f>+I37+O37+U37+AA37+AG37+AM37+AS37+AY37+BE37+BK37+BQ37+BW37</f>
        <v/>
      </c>
      <c r="CE36" s="142">
        <f>+J37+P37+V37+AB37+AH37+AN37+AT37+AZ37+BF37+BL37+BR37+BX37</f>
        <v/>
      </c>
    </row>
    <row r="37">
      <c r="A37" s="71" t="n">
        <v>34</v>
      </c>
      <c r="B37" s="137" t="inlineStr">
        <is>
          <t>นาย</t>
        </is>
      </c>
      <c r="C37" s="74" t="inlineStr">
        <is>
          <t>สุทน</t>
        </is>
      </c>
      <c r="D37" s="107" t="inlineStr">
        <is>
          <t>ธัญญเจริญ</t>
        </is>
      </c>
      <c r="E37" s="69" t="n"/>
      <c r="F37" s="71" t="n"/>
      <c r="G37" s="71" t="n"/>
      <c r="H37" s="71" t="n"/>
      <c r="I37" s="71" t="n"/>
      <c r="J37" s="278" t="n"/>
      <c r="K37" s="82" t="n"/>
      <c r="L37" s="84" t="n"/>
      <c r="M37" s="84" t="n"/>
      <c r="N37" s="84" t="n"/>
      <c r="O37" s="84" t="n"/>
      <c r="P37" s="278" t="n">
        <v>0.001388888888888889</v>
      </c>
      <c r="Q37" s="82" t="n">
        <v>1</v>
      </c>
      <c r="R37" s="84" t="n">
        <v>4</v>
      </c>
      <c r="S37" s="84" t="n"/>
      <c r="T37" s="84" t="n"/>
      <c r="U37" s="84" t="n"/>
      <c r="V37" s="278" t="n"/>
      <c r="W37" s="69" t="n"/>
      <c r="X37" s="71" t="n"/>
      <c r="Y37" s="71" t="n"/>
      <c r="Z37" s="71" t="n"/>
      <c r="AA37" s="71" t="n"/>
      <c r="AB37" s="273" t="n"/>
      <c r="AC37" s="69" t="n"/>
      <c r="AD37" s="71" t="n"/>
      <c r="AE37" s="71" t="n"/>
      <c r="AF37" s="71" t="n"/>
      <c r="AG37" s="71" t="n">
        <v>3</v>
      </c>
      <c r="AH37" s="273" t="n"/>
      <c r="AI37" s="69" t="n">
        <v>1</v>
      </c>
      <c r="AJ37" s="71" t="n"/>
      <c r="AK37" s="71" t="n"/>
      <c r="AL37" s="71" t="n"/>
      <c r="AM37" s="71" t="n"/>
      <c r="AN37" s="273" t="n"/>
      <c r="AO37" s="69" t="n">
        <v>1</v>
      </c>
      <c r="AP37" s="71" t="n"/>
      <c r="AQ37" s="71" t="n"/>
      <c r="AR37" s="71" t="n"/>
      <c r="AS37" s="71" t="n"/>
      <c r="AT37" s="273" t="n"/>
      <c r="AU37" s="69" t="n">
        <v>0.5</v>
      </c>
      <c r="AV37" s="71" t="n"/>
      <c r="AW37" s="71" t="n"/>
      <c r="AX37" s="71" t="n"/>
      <c r="AY37" s="71" t="n"/>
      <c r="AZ37" s="273" t="n"/>
      <c r="BA37" s="69" t="n"/>
      <c r="BB37" s="71" t="n"/>
      <c r="BC37" s="71" t="n"/>
      <c r="BD37" s="71" t="n"/>
      <c r="BE37" s="71" t="n"/>
      <c r="BF37" s="273" t="n"/>
      <c r="BG37" s="69" t="n">
        <v>1</v>
      </c>
      <c r="BH37" s="71" t="n">
        <v>2</v>
      </c>
      <c r="BI37" s="71" t="n"/>
      <c r="BJ37" s="71" t="n"/>
      <c r="BK37" s="71" t="n"/>
      <c r="BL37" s="273" t="n"/>
      <c r="BM37" s="69" t="n">
        <v>2</v>
      </c>
      <c r="BN37" s="71" t="n"/>
      <c r="BO37" s="71" t="n">
        <v>2</v>
      </c>
      <c r="BP37" s="71" t="n"/>
      <c r="BQ37" s="71" t="n"/>
      <c r="BR37" s="273" t="n"/>
      <c r="BS37" s="69" t="n"/>
      <c r="BT37" s="71" t="n"/>
      <c r="BU37" s="71" t="n"/>
      <c r="BV37" s="71" t="n"/>
      <c r="BW37" s="71" t="n">
        <v>3</v>
      </c>
      <c r="BX37" s="273" t="n"/>
      <c r="BZ37" s="274">
        <f>+E38+K38+Q38+W38+AC38+AI38+AO38+AU38+BA38+BG38+BM38+BS38</f>
        <v/>
      </c>
      <c r="CA37" s="275">
        <f>+F38+L38+R38+X38+AD38+AJ38+AP38+AV38+BB38+BH38+BN38+BT38</f>
        <v/>
      </c>
      <c r="CB37" s="275">
        <f>+G38+M38+S38+Y38+AE38+AK38+AQ38+AW38+BC38+BI38+BO38+BU38</f>
        <v/>
      </c>
      <c r="CC37" s="275">
        <f>+H38+N38+T38+Z38+AF38+AL38+AR38+AX38+BD38+BJ38+BP38+BV38</f>
        <v/>
      </c>
      <c r="CD37" s="276">
        <f>+I38+O38+U38+AA38+AG38+AM38+AS38+AY38+BE38+BK38+BQ38+BW38</f>
        <v/>
      </c>
      <c r="CE37" s="142">
        <f>+J38+P38+V38+AB38+AH38+AN38+AT38+AZ38+BF38+BL38+BR38+BX38</f>
        <v/>
      </c>
    </row>
    <row r="38">
      <c r="A38" s="71" t="n">
        <v>35</v>
      </c>
      <c r="B38" s="137" t="inlineStr">
        <is>
          <t>นาง</t>
        </is>
      </c>
      <c r="C38" s="64" t="inlineStr">
        <is>
          <t>สุนีย์</t>
        </is>
      </c>
      <c r="D38" s="14" t="inlineStr">
        <is>
          <t>นาคสังข์</t>
        </is>
      </c>
      <c r="E38" s="69" t="n">
        <v>3</v>
      </c>
      <c r="F38" s="71" t="n">
        <v>0.5</v>
      </c>
      <c r="G38" s="71" t="n"/>
      <c r="H38" s="71" t="n"/>
      <c r="I38" s="71" t="n">
        <v>1</v>
      </c>
      <c r="J38" s="278" t="n"/>
      <c r="K38" s="82" t="n">
        <v>3</v>
      </c>
      <c r="L38" s="84" t="n">
        <v>2.5</v>
      </c>
      <c r="M38" s="84" t="n"/>
      <c r="N38" s="84" t="n"/>
      <c r="O38" s="84" t="n"/>
      <c r="P38" s="278" t="n"/>
      <c r="Q38" s="82" t="n">
        <v>7</v>
      </c>
      <c r="R38" s="84" t="n">
        <v>1</v>
      </c>
      <c r="S38" s="84" t="n"/>
      <c r="T38" s="84" t="n"/>
      <c r="U38" s="84" t="n"/>
      <c r="V38" s="278" t="n"/>
      <c r="W38" s="69" t="n">
        <v>1</v>
      </c>
      <c r="X38" s="71" t="n"/>
      <c r="Y38" s="71" t="n"/>
      <c r="Z38" s="71" t="n"/>
      <c r="AA38" s="71" t="n">
        <v>1</v>
      </c>
      <c r="AB38" s="273" t="n"/>
      <c r="AC38" s="69" t="n">
        <v>2</v>
      </c>
      <c r="AD38" s="71" t="n"/>
      <c r="AE38" s="71" t="n"/>
      <c r="AF38" s="71" t="n"/>
      <c r="AG38" s="71" t="n"/>
      <c r="AH38" s="273" t="n"/>
      <c r="AI38" s="69" t="n">
        <v>2</v>
      </c>
      <c r="AJ38" s="71" t="n">
        <v>1.5</v>
      </c>
      <c r="AK38" s="71" t="n"/>
      <c r="AL38" s="71" t="n">
        <v>0.5</v>
      </c>
      <c r="AM38" s="71" t="n">
        <v>1</v>
      </c>
      <c r="AN38" s="273" t="n"/>
      <c r="AO38" s="69" t="n">
        <v>11</v>
      </c>
      <c r="AP38" s="71" t="n"/>
      <c r="AQ38" s="71" t="n"/>
      <c r="AR38" s="71" t="n"/>
      <c r="AS38" s="71" t="n"/>
      <c r="AT38" s="273" t="n"/>
      <c r="AU38" s="69" t="n">
        <v>0.5</v>
      </c>
      <c r="AV38" s="71" t="n">
        <v>0.5</v>
      </c>
      <c r="AW38" s="71" t="n"/>
      <c r="AX38" s="71" t="n"/>
      <c r="AY38" s="71" t="n"/>
      <c r="AZ38" s="273" t="n"/>
      <c r="BA38" s="69" t="n"/>
      <c r="BB38" s="71" t="n"/>
      <c r="BC38" s="71" t="n">
        <v>2.5</v>
      </c>
      <c r="BD38" s="71" t="n">
        <v>0.5</v>
      </c>
      <c r="BE38" s="71" t="n">
        <v>1</v>
      </c>
      <c r="BF38" s="273" t="n"/>
      <c r="BG38" s="69" t="n">
        <v>0.5</v>
      </c>
      <c r="BH38" s="71" t="n"/>
      <c r="BI38" s="71" t="n"/>
      <c r="BJ38" s="71" t="n">
        <v>1</v>
      </c>
      <c r="BK38" s="71" t="n">
        <v>1</v>
      </c>
      <c r="BL38" s="273" t="n"/>
      <c r="BM38" s="69" t="n">
        <v>3</v>
      </c>
      <c r="BN38" s="71" t="n"/>
      <c r="BO38" s="71" t="n"/>
      <c r="BP38" s="71" t="n">
        <v>1</v>
      </c>
      <c r="BQ38" s="71" t="n"/>
      <c r="BR38" s="273" t="n"/>
      <c r="BS38" s="69" t="n">
        <v>1</v>
      </c>
      <c r="BT38" s="71" t="n"/>
      <c r="BU38" s="71" t="n"/>
      <c r="BV38" s="71" t="n"/>
      <c r="BW38" s="71" t="n">
        <v>1</v>
      </c>
      <c r="BX38" s="273" t="n"/>
      <c r="BZ38" s="274">
        <f>+E39+K39+Q39+W39+AC39+AI39+AO39+AU39+BA39+BG39+BM39+BS39</f>
        <v/>
      </c>
      <c r="CA38" s="275">
        <f>+F39+L39+R39+X39+AD39+AJ39+AP39+AV39+BB39+BH39+BN39+BT39</f>
        <v/>
      </c>
      <c r="CB38" s="275">
        <f>+G39+M39+S39+Y39+AE39+AK39+AQ39+AW39+BC39+BI39+BO39+BU39</f>
        <v/>
      </c>
      <c r="CC38" s="275">
        <f>+H39+N39+T39+Z39+AF39+AL39+AR39+AX39+BD39+BJ39+BP39+BV39</f>
        <v/>
      </c>
      <c r="CD38" s="276">
        <f>+I39+O39+U39+AA39+AG39+AM39+AS39+AY39+BE39+BK39+BQ39+BW39</f>
        <v/>
      </c>
      <c r="CE38" s="142">
        <f>+J39+P39+V39+AB39+AH39+AN39+AT39+AZ39+BF39+BL39+BR39+BX39</f>
        <v/>
      </c>
    </row>
    <row r="39">
      <c r="A39" s="71" t="n">
        <v>36</v>
      </c>
      <c r="B39" s="137" t="inlineStr">
        <is>
          <t>นาย</t>
        </is>
      </c>
      <c r="C39" s="64" t="inlineStr">
        <is>
          <t>สุวิชา</t>
        </is>
      </c>
      <c r="D39" s="14" t="inlineStr">
        <is>
          <t>จ้อยชู</t>
        </is>
      </c>
      <c r="E39" s="69" t="n"/>
      <c r="F39" s="71" t="n"/>
      <c r="G39" s="71" t="n"/>
      <c r="H39" s="71" t="n"/>
      <c r="I39" s="71" t="n"/>
      <c r="J39" s="278" t="n"/>
      <c r="K39" s="82" t="n"/>
      <c r="L39" s="84" t="n">
        <v>2</v>
      </c>
      <c r="M39" s="84" t="n"/>
      <c r="N39" s="84" t="n"/>
      <c r="O39" s="84" t="n">
        <v>1</v>
      </c>
      <c r="P39" s="278" t="n"/>
      <c r="Q39" s="82" t="n"/>
      <c r="R39" s="84" t="n">
        <v>2</v>
      </c>
      <c r="S39" s="84" t="n"/>
      <c r="T39" s="84" t="n"/>
      <c r="U39" s="84" t="n">
        <v>1</v>
      </c>
      <c r="V39" s="278" t="n"/>
      <c r="W39" s="69" t="n"/>
      <c r="X39" s="71" t="n">
        <v>0.5</v>
      </c>
      <c r="Y39" s="71" t="n"/>
      <c r="Z39" s="71" t="n"/>
      <c r="AA39" s="71" t="n"/>
      <c r="AB39" s="273" t="n"/>
      <c r="AC39" s="69" t="n"/>
      <c r="AD39" s="71" t="n"/>
      <c r="AE39" s="71" t="n"/>
      <c r="AF39" s="71" t="n"/>
      <c r="AG39" s="71" t="n"/>
      <c r="AH39" s="273" t="n"/>
      <c r="AI39" s="69" t="n">
        <v>3</v>
      </c>
      <c r="AJ39" s="71" t="n">
        <v>0.5</v>
      </c>
      <c r="AK39" s="71" t="n"/>
      <c r="AL39" s="71" t="n"/>
      <c r="AM39" s="71" t="n">
        <v>1</v>
      </c>
      <c r="AN39" s="273" t="n"/>
      <c r="AO39" s="69" t="n"/>
      <c r="AP39" s="71" t="n"/>
      <c r="AQ39" s="71" t="n"/>
      <c r="AR39" s="71" t="n"/>
      <c r="AS39" s="71" t="n"/>
      <c r="AT39" s="273" t="n"/>
      <c r="AU39" s="69" t="n"/>
      <c r="AV39" s="71" t="n">
        <v>1</v>
      </c>
      <c r="AW39" s="71" t="n"/>
      <c r="AX39" s="71" t="n"/>
      <c r="AY39" s="71" t="n"/>
      <c r="AZ39" s="273" t="n"/>
      <c r="BA39" s="69" t="n"/>
      <c r="BB39" s="71" t="n"/>
      <c r="BC39" s="71" t="n"/>
      <c r="BD39" s="71" t="n"/>
      <c r="BE39" s="71" t="n"/>
      <c r="BF39" s="273" t="n"/>
      <c r="BG39" s="69" t="n"/>
      <c r="BH39" s="71" t="n"/>
      <c r="BI39" s="71" t="n"/>
      <c r="BJ39" s="71" t="n"/>
      <c r="BK39" s="71" t="n"/>
      <c r="BL39" s="273" t="n"/>
      <c r="BM39" s="69" t="n"/>
      <c r="BN39" s="71" t="n"/>
      <c r="BO39" s="71" t="n">
        <v>4</v>
      </c>
      <c r="BP39" s="71" t="n"/>
      <c r="BQ39" s="71" t="n">
        <v>1</v>
      </c>
      <c r="BR39" s="273" t="n"/>
      <c r="BS39" s="69" t="n"/>
      <c r="BT39" s="71" t="n"/>
      <c r="BU39" s="71" t="n"/>
      <c r="BV39" s="71" t="n"/>
      <c r="BW39" s="71" t="n">
        <v>2</v>
      </c>
      <c r="BX39" s="273" t="n">
        <v>0.0006944444444444445</v>
      </c>
      <c r="BZ39" s="274">
        <f>+E40+K40+Q40+W40+AC40+AI40+AO40+AU40+BA40+BG40+BM40+BS40</f>
        <v/>
      </c>
      <c r="CA39" s="275">
        <f>+F40+L40+R40+X40+AD40+AJ40+AP40+AV40+BB40+BH40+BN40+BT40</f>
        <v/>
      </c>
      <c r="CB39" s="275">
        <f>+G40+M40+S40+Y40+AE40+AK40+AQ40+AW40+BC40+BI40+BO40+BU40</f>
        <v/>
      </c>
      <c r="CC39" s="275">
        <f>+H40+N40+T40+Z40+AF40+AL40+AR40+AX40+BD40+BJ40+BP40+BV40</f>
        <v/>
      </c>
      <c r="CD39" s="276">
        <f>+I40+O40+U40+AA40+AG40+AM40+AS40+AY40+BE40+BK40+BQ40+BW40</f>
        <v/>
      </c>
      <c r="CE39" s="142">
        <f>+J40+P40+V40+AB40+AH40+AN40+AT40+AZ40+BF40+BL40+BR40+BX40</f>
        <v/>
      </c>
    </row>
    <row r="40">
      <c r="A40" s="71" t="n">
        <v>37</v>
      </c>
      <c r="B40" s="137" t="inlineStr">
        <is>
          <t>นาย</t>
        </is>
      </c>
      <c r="C40" s="64" t="inlineStr">
        <is>
          <t>สุวิทย์</t>
        </is>
      </c>
      <c r="D40" s="14" t="inlineStr">
        <is>
          <t>โฮมแพน</t>
        </is>
      </c>
      <c r="E40" s="69" t="n">
        <v>2</v>
      </c>
      <c r="F40" s="71" t="n"/>
      <c r="G40" s="71" t="n"/>
      <c r="H40" s="71" t="n"/>
      <c r="I40" s="71" t="n">
        <v>1</v>
      </c>
      <c r="J40" s="278" t="n"/>
      <c r="K40" s="82" t="n"/>
      <c r="L40" s="84" t="n">
        <v>0.5</v>
      </c>
      <c r="M40" s="84" t="n"/>
      <c r="N40" s="84" t="n"/>
      <c r="O40" s="84" t="n">
        <v>1</v>
      </c>
      <c r="P40" s="278" t="n"/>
      <c r="Q40" s="82" t="n"/>
      <c r="R40" s="84" t="n"/>
      <c r="S40" s="84" t="n"/>
      <c r="T40" s="84" t="n">
        <v>0.5</v>
      </c>
      <c r="U40" s="84" t="n">
        <v>1</v>
      </c>
      <c r="V40" s="278" t="n"/>
      <c r="W40" s="69" t="n"/>
      <c r="X40" s="71" t="n">
        <v>0.5</v>
      </c>
      <c r="Y40" s="71" t="n"/>
      <c r="Z40" s="71" t="n">
        <v>1</v>
      </c>
      <c r="AA40" s="71" t="n"/>
      <c r="AB40" s="273" t="n"/>
      <c r="AC40" s="69" t="n">
        <v>3</v>
      </c>
      <c r="AD40" s="71" t="n">
        <v>1</v>
      </c>
      <c r="AE40" s="71" t="n"/>
      <c r="AF40" s="71" t="n"/>
      <c r="AG40" s="71" t="n"/>
      <c r="AH40" s="273" t="n"/>
      <c r="AI40" s="69" t="n"/>
      <c r="AJ40" s="71" t="n"/>
      <c r="AK40" s="71" t="n"/>
      <c r="AL40" s="71" t="n"/>
      <c r="AM40" s="71" t="n"/>
      <c r="AN40" s="273" t="n"/>
      <c r="AO40" s="69" t="n"/>
      <c r="AP40" s="71" t="n">
        <v>1</v>
      </c>
      <c r="AQ40" s="71" t="n"/>
      <c r="AR40" s="71" t="n"/>
      <c r="AS40" s="71" t="n"/>
      <c r="AT40" s="273" t="n"/>
      <c r="AU40" s="69" t="n"/>
      <c r="AV40" s="71" t="n">
        <v>1</v>
      </c>
      <c r="AW40" s="71" t="n"/>
      <c r="AX40" s="71" t="n"/>
      <c r="AY40" s="71" t="n"/>
      <c r="AZ40" s="273" t="n">
        <v>0.002083333333333333</v>
      </c>
      <c r="BA40" s="69" t="n"/>
      <c r="BB40" s="71" t="n">
        <v>1</v>
      </c>
      <c r="BC40" s="71" t="n"/>
      <c r="BD40" s="71" t="n"/>
      <c r="BE40" s="71" t="n"/>
      <c r="BF40" s="273" t="n"/>
      <c r="BG40" s="69" t="n"/>
      <c r="BH40" s="71" t="n"/>
      <c r="BI40" s="71" t="n"/>
      <c r="BJ40" s="71" t="n"/>
      <c r="BK40" s="71" t="n"/>
      <c r="BL40" s="273" t="n"/>
      <c r="BM40" s="69" t="n">
        <v>3</v>
      </c>
      <c r="BN40" s="71" t="n"/>
      <c r="BO40" s="71" t="n"/>
      <c r="BP40" s="71" t="n"/>
      <c r="BQ40" s="71" t="n">
        <v>1</v>
      </c>
      <c r="BR40" s="273" t="n"/>
      <c r="BS40" s="69" t="n"/>
      <c r="BT40" s="71" t="n">
        <v>1</v>
      </c>
      <c r="BU40" s="71" t="n"/>
      <c r="BV40" s="71" t="n"/>
      <c r="BW40" s="71" t="n">
        <v>2</v>
      </c>
      <c r="BX40" s="273" t="n"/>
      <c r="BZ40" s="274">
        <f>+E41+K41+Q41+W41+AC41+AI41+AO41+AU41+BA41+BG41+BM41+BS41</f>
        <v/>
      </c>
      <c r="CA40" s="275">
        <f>+F41+L41+R41+X41+AD41+AJ41+AP41+AV41+BB41+BH41+BN41+BT41</f>
        <v/>
      </c>
      <c r="CB40" s="275">
        <f>+G41+M41+S41+Y41+AE41+AK41+AQ41+AW41+BC41+BI41+BO41+BU41</f>
        <v/>
      </c>
      <c r="CC40" s="275">
        <f>+H41+N41+T41+Z41+AF41+AL41+AR41+AX41+BD41+BJ41+BP41+BV41</f>
        <v/>
      </c>
      <c r="CD40" s="276">
        <f>+I41+O41+U41+AA41+AG41+AM41+AS41+AY41+BE41+BK41+BQ41+BW41</f>
        <v/>
      </c>
      <c r="CE40" s="142">
        <f>+J41+P41+V41+AB41+AH41+AN41+AT41+AZ41+BF41+BL41+BR41+BX41</f>
        <v/>
      </c>
    </row>
    <row r="41">
      <c r="A41" s="71" t="n">
        <v>38</v>
      </c>
      <c r="B41" s="137" t="inlineStr">
        <is>
          <t>นาย</t>
        </is>
      </c>
      <c r="C41" s="64" t="inlineStr">
        <is>
          <t>อภิเชษฐ์</t>
        </is>
      </c>
      <c r="D41" s="14" t="inlineStr">
        <is>
          <t>ทั่งทอง</t>
        </is>
      </c>
      <c r="E41" s="69" t="n">
        <v>0.5</v>
      </c>
      <c r="F41" s="71" t="n">
        <v>2</v>
      </c>
      <c r="G41" s="71" t="n"/>
      <c r="H41" s="71" t="n"/>
      <c r="I41" s="71" t="n"/>
      <c r="J41" s="273" t="n"/>
      <c r="K41" s="82" t="n">
        <v>2</v>
      </c>
      <c r="L41" s="84" t="n"/>
      <c r="M41" s="84" t="n"/>
      <c r="N41" s="84" t="n"/>
      <c r="O41" s="84" t="n"/>
      <c r="P41" s="273" t="n"/>
      <c r="Q41" s="82" t="n"/>
      <c r="R41" s="84" t="n">
        <v>0.5</v>
      </c>
      <c r="S41" s="84" t="n"/>
      <c r="T41" s="84" t="n"/>
      <c r="U41" s="71" t="n">
        <v>1</v>
      </c>
      <c r="V41" s="273" t="n"/>
      <c r="W41" s="69" t="n"/>
      <c r="X41" s="71" t="n">
        <v>3.5</v>
      </c>
      <c r="Y41" s="71" t="n">
        <v>0.5</v>
      </c>
      <c r="Z41" s="71" t="n"/>
      <c r="AA41" s="71" t="n"/>
      <c r="AB41" s="273" t="n"/>
      <c r="AC41" s="69" t="n"/>
      <c r="AD41" s="71" t="n"/>
      <c r="AE41" s="71" t="n">
        <v>1</v>
      </c>
      <c r="AF41" s="71" t="n">
        <v>1</v>
      </c>
      <c r="AG41" s="71" t="n"/>
      <c r="AH41" s="273" t="n"/>
      <c r="AI41" s="69" t="n">
        <v>3.5</v>
      </c>
      <c r="AJ41" s="71" t="n"/>
      <c r="AK41" s="71" t="n"/>
      <c r="AL41" s="71" t="n"/>
      <c r="AM41" s="71" t="n"/>
      <c r="AN41" s="273" t="n"/>
      <c r="AO41" s="69" t="n"/>
      <c r="AP41" s="71" t="n"/>
      <c r="AQ41" s="71" t="n"/>
      <c r="AR41" s="71" t="n"/>
      <c r="AS41" s="71" t="n">
        <v>1</v>
      </c>
      <c r="AT41" s="273" t="n"/>
      <c r="AU41" s="69" t="n"/>
      <c r="AV41" s="71" t="n"/>
      <c r="AW41" s="71" t="n"/>
      <c r="AX41" s="71" t="n"/>
      <c r="AY41" s="71" t="n"/>
      <c r="AZ41" s="273" t="n"/>
      <c r="BA41" s="69" t="n">
        <v>1</v>
      </c>
      <c r="BB41" s="71" t="n"/>
      <c r="BC41" s="71" t="n">
        <v>0.5</v>
      </c>
      <c r="BD41" s="71" t="n"/>
      <c r="BE41" s="71" t="n"/>
      <c r="BF41" s="273" t="n"/>
      <c r="BG41" s="69" t="n"/>
      <c r="BH41" s="71" t="n"/>
      <c r="BI41" s="71" t="n"/>
      <c r="BJ41" s="71" t="n"/>
      <c r="BK41" s="71" t="n">
        <v>1</v>
      </c>
      <c r="BL41" s="273" t="n"/>
      <c r="BM41" s="69" t="n">
        <v>1</v>
      </c>
      <c r="BN41" s="71" t="n"/>
      <c r="BO41" s="71" t="n">
        <v>0.5</v>
      </c>
      <c r="BP41" s="71" t="n"/>
      <c r="BQ41" s="71" t="n"/>
      <c r="BR41" s="273" t="n"/>
      <c r="BS41" s="69" t="n"/>
      <c r="BT41" s="71" t="n"/>
      <c r="BU41" s="71" t="n"/>
      <c r="BV41" s="71" t="n">
        <v>1</v>
      </c>
      <c r="BW41" s="71" t="n">
        <v>3</v>
      </c>
      <c r="BX41" s="273" t="n"/>
      <c r="BZ41" s="274">
        <f>+E42+K42+Q42+W42+AC42+AI42+AO42+AU42+BA42+BG42+BM42+BS42</f>
        <v/>
      </c>
      <c r="CA41" s="275">
        <f>+F42+L42+R42+X42+AD42+AJ42+AP42+AV42+BB42+BH42+BN42+BT42</f>
        <v/>
      </c>
      <c r="CB41" s="275">
        <f>+G42+M42+S42+Y42+AE42+AK42+AQ42+AW42+BC42+BI42+BO42+BU42</f>
        <v/>
      </c>
      <c r="CC41" s="275">
        <f>+H42+N42+T42+Z42+AF42+AL42+AR42+AX42+BD42+BJ42+BP42+BV42</f>
        <v/>
      </c>
      <c r="CD41" s="276">
        <f>+I42+O42+U42+AA42+AG42+AM42+AS42+AY42+BE42+BK42+BQ42+BW42</f>
        <v/>
      </c>
      <c r="CE41" s="142">
        <f>+J42+P42+V42+AB42+AH42+AN42+AT42+AZ42+BF42+BL42+BR42+BX42</f>
        <v/>
      </c>
    </row>
    <row r="42">
      <c r="A42" s="71" t="n">
        <v>39</v>
      </c>
      <c r="B42" s="137" t="inlineStr">
        <is>
          <t>นาย</t>
        </is>
      </c>
      <c r="C42" s="64" t="inlineStr">
        <is>
          <t>อำนวย</t>
        </is>
      </c>
      <c r="D42" s="14" t="inlineStr">
        <is>
          <t>อ่อนคำ</t>
        </is>
      </c>
      <c r="E42" s="69" t="n">
        <v>1</v>
      </c>
      <c r="F42" s="71" t="n">
        <v>1</v>
      </c>
      <c r="G42" s="71" t="n"/>
      <c r="H42" s="71" t="n"/>
      <c r="I42" s="71" t="n"/>
      <c r="J42" s="273" t="n"/>
      <c r="K42" s="69" t="n">
        <v>1</v>
      </c>
      <c r="L42" s="71" t="n"/>
      <c r="M42" s="71" t="n"/>
      <c r="N42" s="71" t="n"/>
      <c r="O42" s="71" t="n"/>
      <c r="P42" s="273" t="n"/>
      <c r="Q42" s="69" t="n">
        <v>1</v>
      </c>
      <c r="R42" s="71" t="n">
        <v>2</v>
      </c>
      <c r="S42" s="71" t="n"/>
      <c r="T42" s="71" t="n"/>
      <c r="U42" s="71" t="n">
        <v>2</v>
      </c>
      <c r="V42" s="273" t="n"/>
      <c r="W42" s="69" t="n"/>
      <c r="X42" s="71" t="n">
        <v>1</v>
      </c>
      <c r="Y42" s="71" t="n"/>
      <c r="Z42" s="71" t="n"/>
      <c r="AA42" s="71" t="n"/>
      <c r="AB42" s="273" t="n"/>
      <c r="AC42" s="69" t="n"/>
      <c r="AD42" s="71" t="n">
        <v>2</v>
      </c>
      <c r="AE42" s="71" t="n"/>
      <c r="AF42" s="71" t="n"/>
      <c r="AG42" s="71" t="n">
        <v>4</v>
      </c>
      <c r="AH42" s="273" t="n"/>
      <c r="AI42" s="69" t="n">
        <v>1</v>
      </c>
      <c r="AJ42" s="71" t="n"/>
      <c r="AK42" s="71" t="n"/>
      <c r="AL42" s="71" t="n"/>
      <c r="AM42" s="71" t="n"/>
      <c r="AN42" s="273" t="n"/>
      <c r="AO42" s="69" t="n">
        <v>1</v>
      </c>
      <c r="AP42" s="71" t="n"/>
      <c r="AQ42" s="71" t="n"/>
      <c r="AR42" s="71" t="n">
        <v>1</v>
      </c>
      <c r="AS42" s="71" t="n"/>
      <c r="AT42" s="273" t="n"/>
      <c r="AU42" s="69" t="n">
        <v>0.5</v>
      </c>
      <c r="AV42" s="71" t="n"/>
      <c r="AW42" s="71" t="n"/>
      <c r="AX42" s="71" t="n">
        <v>1</v>
      </c>
      <c r="AY42" s="71" t="n"/>
      <c r="AZ42" s="273" t="n"/>
      <c r="BA42" s="69" t="n">
        <v>5</v>
      </c>
      <c r="BB42" s="71" t="n"/>
      <c r="BC42" s="71" t="n"/>
      <c r="BD42" s="71" t="n"/>
      <c r="BE42" s="71" t="n"/>
      <c r="BF42" s="273" t="n"/>
      <c r="BG42" s="69" t="n">
        <v>1</v>
      </c>
      <c r="BH42" s="71" t="n"/>
      <c r="BI42" s="71" t="n"/>
      <c r="BJ42" s="71" t="n">
        <v>1</v>
      </c>
      <c r="BK42" s="71" t="n"/>
      <c r="BL42" s="273" t="n"/>
      <c r="BM42" s="69" t="n">
        <v>3</v>
      </c>
      <c r="BN42" s="71" t="n"/>
      <c r="BO42" s="71" t="n"/>
      <c r="BP42" s="71" t="n"/>
      <c r="BQ42" s="71" t="n"/>
      <c r="BR42" s="273" t="n"/>
      <c r="BS42" s="69" t="n"/>
      <c r="BT42" s="71" t="n"/>
      <c r="BU42" s="71" t="n"/>
      <c r="BV42" s="71" t="n"/>
      <c r="BW42" s="71" t="n"/>
      <c r="BX42" s="273" t="n"/>
      <c r="BZ42" s="274">
        <f>+E43+K43+Q43+W43+AC43+AI43+AO43+AU43+BA43+BG43+BM43+BS43</f>
        <v/>
      </c>
      <c r="CA42" s="275">
        <f>+F43+L43+R43+X43+AD43+AJ43+AP43+AV43+BB43+BH43+BN43+BT43</f>
        <v/>
      </c>
      <c r="CB42" s="275">
        <f>+G43+M43+S43+Y43+AE43+AK43+AQ43+AW43+BC43+BI43+BO43+BU43</f>
        <v/>
      </c>
      <c r="CC42" s="275">
        <f>+H43+N43+T43+Z43+AF43+AL43+AR43+AX43+BD43+BJ43+BP43+BV43</f>
        <v/>
      </c>
      <c r="CD42" s="276">
        <f>+I43+O43+U43+AA43+AG43+AM43+AS43+AY43+BE43+BK43+BQ43+BW43</f>
        <v/>
      </c>
      <c r="CE42" s="142">
        <f>+J43+P43+V43+AB43+AH43+AN43+AT43+AZ43+BF43+BL43+BR43+BX43</f>
        <v/>
      </c>
    </row>
    <row r="43">
      <c r="A43" s="71" t="n">
        <v>40</v>
      </c>
      <c r="B43" s="137" t="inlineStr">
        <is>
          <t>นาย</t>
        </is>
      </c>
      <c r="C43" s="74" t="inlineStr">
        <is>
          <t>กิตติศักดิ์</t>
        </is>
      </c>
      <c r="D43" s="107" t="inlineStr">
        <is>
          <t>นวลศรีไพร</t>
        </is>
      </c>
      <c r="E43" s="69" t="n"/>
      <c r="F43" s="71" t="n"/>
      <c r="G43" s="71" t="n"/>
      <c r="H43" s="71" t="n"/>
      <c r="I43" s="71" t="n"/>
      <c r="J43" s="273" t="n"/>
      <c r="K43" s="69" t="n"/>
      <c r="L43" s="71" t="n">
        <v>1</v>
      </c>
      <c r="M43" s="71" t="n"/>
      <c r="N43" s="71" t="n"/>
      <c r="O43" s="71" t="n"/>
      <c r="P43" s="273" t="n"/>
      <c r="Q43" s="69" t="n"/>
      <c r="R43" s="71" t="n">
        <v>0.5</v>
      </c>
      <c r="S43" s="71" t="n"/>
      <c r="T43" s="71" t="n"/>
      <c r="U43" s="71" t="n"/>
      <c r="V43" s="273" t="n">
        <v>0.001388888888888889</v>
      </c>
      <c r="W43" s="69" t="n"/>
      <c r="X43" s="71" t="n">
        <v>1</v>
      </c>
      <c r="Y43" s="71" t="n"/>
      <c r="Z43" s="71" t="n"/>
      <c r="AA43" s="71" t="n">
        <v>1</v>
      </c>
      <c r="AB43" s="273" t="n"/>
      <c r="AC43" s="69" t="n"/>
      <c r="AD43" s="71" t="n"/>
      <c r="AE43" s="71" t="n"/>
      <c r="AF43" s="71" t="n"/>
      <c r="AG43" s="71" t="n"/>
      <c r="AH43" s="273" t="n"/>
      <c r="AI43" s="69" t="n">
        <v>3</v>
      </c>
      <c r="AJ43" s="71" t="n"/>
      <c r="AK43" s="71" t="n"/>
      <c r="AL43" s="71" t="n"/>
      <c r="AM43" s="71" t="n">
        <v>1</v>
      </c>
      <c r="AN43" s="273" t="n"/>
      <c r="AO43" s="69" t="n">
        <v>1</v>
      </c>
      <c r="AP43" s="71" t="n"/>
      <c r="AQ43" s="71" t="n"/>
      <c r="AR43" s="71" t="n"/>
      <c r="AS43" s="71" t="n">
        <v>2</v>
      </c>
      <c r="AT43" s="273" t="n"/>
      <c r="AU43" s="69" t="n"/>
      <c r="AV43" s="71" t="n">
        <v>1</v>
      </c>
      <c r="AW43" s="71" t="n"/>
      <c r="AX43" s="71" t="n"/>
      <c r="AY43" s="71" t="n"/>
      <c r="AZ43" s="273" t="n"/>
      <c r="BA43" s="69" t="n"/>
      <c r="BB43" s="71" t="n">
        <v>1</v>
      </c>
      <c r="BC43" s="71" t="n"/>
      <c r="BD43" s="71" t="n"/>
      <c r="BE43" s="71" t="n"/>
      <c r="BF43" s="273" t="n">
        <v>0.0006944444444444445</v>
      </c>
      <c r="BG43" s="69" t="n">
        <v>1</v>
      </c>
      <c r="BH43" s="71" t="n"/>
      <c r="BI43" s="71" t="n"/>
      <c r="BJ43" s="71" t="n"/>
      <c r="BK43" s="71" t="n">
        <v>1</v>
      </c>
      <c r="BL43" s="273" t="n">
        <v>0.0006944444444444445</v>
      </c>
      <c r="BM43" s="69" t="n"/>
      <c r="BN43" s="71" t="n">
        <v>1</v>
      </c>
      <c r="BO43" s="71" t="n"/>
      <c r="BP43" s="71" t="n"/>
      <c r="BQ43" s="71" t="n"/>
      <c r="BR43" s="273" t="n">
        <v>0.002083333333333333</v>
      </c>
      <c r="BS43" s="69" t="n"/>
      <c r="BT43" s="71" t="n">
        <v>0.5</v>
      </c>
      <c r="BU43" s="71" t="n">
        <v>0.5</v>
      </c>
      <c r="BV43" s="71" t="n"/>
      <c r="BW43" s="71" t="n">
        <v>1</v>
      </c>
      <c r="BX43" s="273" t="n"/>
      <c r="BZ43" s="274">
        <f>+E44+K44+Q44+W44+AC44+AI44+AO44+AU44+BA44+BG44+BM44+BS44</f>
        <v/>
      </c>
      <c r="CA43" s="275">
        <f>+F44+L44+R44+X44+AD44+AJ44+AP44+AV44+BB44+BH44+BN44+BT44</f>
        <v/>
      </c>
      <c r="CB43" s="275">
        <f>+G44+M44+S44+Y44+AE44+AK44+AQ44+AW44+BC44+BI44+BO44+BU44</f>
        <v/>
      </c>
      <c r="CC43" s="275">
        <f>+H44+N44+T44+Z44+AF44+AL44+AR44+AX44+BD44+BJ44+BP44+BV44</f>
        <v/>
      </c>
      <c r="CD43" s="276">
        <f>+I44+O44+U44+AA44+AG44+AM44+AS44+AY44+BE44+BK44+BQ44+BW44</f>
        <v/>
      </c>
      <c r="CE43" s="142">
        <f>+J44+P44+V44+AB44+AH44+AN44+AT44+AZ44+BF44+BL44+BR44+BX44</f>
        <v/>
      </c>
    </row>
    <row r="44">
      <c r="A44" s="71" t="n">
        <v>41</v>
      </c>
      <c r="B44" s="137" t="inlineStr">
        <is>
          <t>น.ส.</t>
        </is>
      </c>
      <c r="C44" s="74" t="inlineStr">
        <is>
          <t>กัลยา</t>
        </is>
      </c>
      <c r="D44" s="107" t="inlineStr">
        <is>
          <t>เปี่ยมสิน</t>
        </is>
      </c>
      <c r="E44" s="69" t="n"/>
      <c r="F44" s="71" t="n"/>
      <c r="G44" s="71" t="n"/>
      <c r="H44" s="71" t="n"/>
      <c r="I44" s="71" t="n">
        <v>1</v>
      </c>
      <c r="J44" s="273" t="n"/>
      <c r="K44" s="69" t="n">
        <v>1</v>
      </c>
      <c r="L44" s="71" t="n">
        <v>1</v>
      </c>
      <c r="M44" s="71" t="n"/>
      <c r="N44" s="71" t="n"/>
      <c r="O44" s="71" t="n"/>
      <c r="P44" s="273" t="n"/>
      <c r="Q44" s="69" t="n"/>
      <c r="R44" s="71" t="n"/>
      <c r="S44" s="71" t="n"/>
      <c r="T44" s="71" t="n"/>
      <c r="U44" s="71" t="n"/>
      <c r="V44" s="273" t="n"/>
      <c r="W44" s="69" t="n">
        <v>1</v>
      </c>
      <c r="X44" s="71" t="n"/>
      <c r="Y44" s="71" t="n"/>
      <c r="Z44" s="71" t="n"/>
      <c r="AA44" s="71" t="n">
        <v>1</v>
      </c>
      <c r="AB44" s="273" t="n"/>
      <c r="AC44" s="69" t="n"/>
      <c r="AD44" s="71" t="n"/>
      <c r="AE44" s="71" t="n"/>
      <c r="AF44" s="71" t="n"/>
      <c r="AG44" s="71" t="n"/>
      <c r="AH44" s="273" t="n"/>
      <c r="AI44" s="69" t="n">
        <v>1</v>
      </c>
      <c r="AJ44" s="71" t="n">
        <v>4</v>
      </c>
      <c r="AK44" s="71" t="n"/>
      <c r="AL44" s="71" t="n"/>
      <c r="AM44" s="71" t="n"/>
      <c r="AN44" s="273" t="n"/>
      <c r="AO44" s="69" t="n"/>
      <c r="AP44" s="71" t="n"/>
      <c r="AQ44" s="71" t="n"/>
      <c r="AR44" s="71" t="n"/>
      <c r="AS44" s="71" t="n"/>
      <c r="AT44" s="273" t="n"/>
      <c r="AU44" s="69" t="n">
        <v>1</v>
      </c>
      <c r="AV44" s="71" t="n"/>
      <c r="AW44" s="71" t="n"/>
      <c r="AX44" s="71" t="n"/>
      <c r="AY44" s="71" t="n"/>
      <c r="AZ44" s="273" t="n"/>
      <c r="BA44" s="69" t="n"/>
      <c r="BB44" s="71" t="n"/>
      <c r="BC44" s="71" t="n"/>
      <c r="BD44" s="71" t="n"/>
      <c r="BE44" s="71" t="n"/>
      <c r="BF44" s="273" t="n"/>
      <c r="BG44" s="69" t="n"/>
      <c r="BH44" s="71" t="n"/>
      <c r="BI44" s="71" t="n"/>
      <c r="BJ44" s="71" t="n"/>
      <c r="BK44" s="71" t="n"/>
      <c r="BL44" s="273" t="n"/>
      <c r="BM44" s="69" t="n"/>
      <c r="BN44" s="71" t="n"/>
      <c r="BO44" s="71" t="n"/>
      <c r="BP44" s="71" t="n"/>
      <c r="BQ44" s="71" t="n"/>
      <c r="BR44" s="273" t="n"/>
      <c r="BS44" s="69" t="n">
        <v>4</v>
      </c>
      <c r="BT44" s="71" t="n">
        <v>1</v>
      </c>
      <c r="BU44" s="71" t="n">
        <v>0.5</v>
      </c>
      <c r="BV44" s="71" t="n"/>
      <c r="BW44" s="71" t="n"/>
      <c r="BX44" s="273" t="n"/>
      <c r="BZ44" s="274">
        <f>+E45+K45+Q45+W45+AC45+AI45+AO45+AU45+BA45+BG45+BM45+BS45</f>
        <v/>
      </c>
      <c r="CA44" s="275">
        <f>+F45+L45+R45+X45+AD45+AJ45+AP45+AV45+BB45+BH45+BN45+BT45</f>
        <v/>
      </c>
      <c r="CB44" s="275">
        <f>+G45+M45+S45+Y45+AE45+AK45+AQ45+AW45+BC45+BI45+BO45+BU45</f>
        <v/>
      </c>
      <c r="CC44" s="275">
        <f>+H45+N45+T45+Z45+AF45+AL45+AR45+AX45+BD45+BJ45+BP45+BV45</f>
        <v/>
      </c>
      <c r="CD44" s="276">
        <f>+I45+O45+U45+AA45+AG45+AM45+AS45+AY45+BE45+BK45+BQ45+BW45</f>
        <v/>
      </c>
      <c r="CE44" s="142">
        <f>+J45+P45+V45+AB45+AH45+AN45+AT45+AZ45+BF45+BL45+BR45+BX45</f>
        <v/>
      </c>
    </row>
    <row r="45">
      <c r="A45" s="71" t="n">
        <v>42</v>
      </c>
      <c r="B45" s="137" t="inlineStr">
        <is>
          <t>นาง</t>
        </is>
      </c>
      <c r="C45" s="74" t="inlineStr">
        <is>
          <t>กัลยาภัสร์</t>
        </is>
      </c>
      <c r="D45" s="107" t="inlineStr">
        <is>
          <t>สิทธิวิโรฒโภคิน</t>
        </is>
      </c>
      <c r="E45" s="69" t="n">
        <v>1</v>
      </c>
      <c r="F45" s="71" t="n">
        <v>1</v>
      </c>
      <c r="G45" s="71" t="n"/>
      <c r="H45" s="71" t="n"/>
      <c r="I45" s="71" t="n"/>
      <c r="J45" s="273" t="n"/>
      <c r="K45" s="69" t="n">
        <v>1.5</v>
      </c>
      <c r="L45" s="71" t="n"/>
      <c r="M45" s="71" t="n"/>
      <c r="N45" s="71" t="n"/>
      <c r="O45" s="71" t="n">
        <v>2</v>
      </c>
      <c r="P45" s="273" t="n"/>
      <c r="Q45" s="69" t="n">
        <v>1</v>
      </c>
      <c r="R45" s="71" t="n"/>
      <c r="S45" s="71" t="n"/>
      <c r="T45" s="71" t="n"/>
      <c r="U45" s="71" t="n"/>
      <c r="V45" s="273" t="n"/>
      <c r="W45" s="69" t="n">
        <v>1</v>
      </c>
      <c r="X45" s="71" t="n"/>
      <c r="Y45" s="71" t="n"/>
      <c r="Z45" s="71" t="n"/>
      <c r="AA45" s="71" t="n"/>
      <c r="AB45" s="273" t="n"/>
      <c r="AC45" s="69" t="n"/>
      <c r="AD45" s="71" t="n">
        <v>1</v>
      </c>
      <c r="AE45" s="71" t="n"/>
      <c r="AF45" s="71" t="n"/>
      <c r="AG45" s="71" t="n"/>
      <c r="AH45" s="273" t="n"/>
      <c r="AI45" s="69" t="n">
        <v>5</v>
      </c>
      <c r="AJ45" s="71" t="n"/>
      <c r="AK45" s="71" t="n"/>
      <c r="AL45" s="71" t="n"/>
      <c r="AM45" s="71" t="n">
        <v>1</v>
      </c>
      <c r="AN45" s="273" t="n"/>
      <c r="AO45" s="69" t="n">
        <v>2</v>
      </c>
      <c r="AP45" s="71" t="n"/>
      <c r="AQ45" s="71" t="n"/>
      <c r="AR45" s="71" t="n"/>
      <c r="AS45" s="71" t="n"/>
      <c r="AT45" s="273" t="n"/>
      <c r="AU45" s="69" t="n"/>
      <c r="AV45" s="71" t="n">
        <v>1</v>
      </c>
      <c r="AW45" s="71" t="n"/>
      <c r="AX45" s="71" t="n"/>
      <c r="AY45" s="71" t="n"/>
      <c r="AZ45" s="273" t="n"/>
      <c r="BA45" s="69" t="n">
        <v>1</v>
      </c>
      <c r="BB45" s="71" t="n">
        <v>1</v>
      </c>
      <c r="BC45" s="71" t="n"/>
      <c r="BD45" s="71" t="n"/>
      <c r="BE45" s="71" t="n">
        <v>2</v>
      </c>
      <c r="BF45" s="273" t="n"/>
      <c r="BG45" s="69" t="n">
        <v>1</v>
      </c>
      <c r="BH45" s="71" t="n"/>
      <c r="BI45" s="71" t="n"/>
      <c r="BJ45" s="71" t="n"/>
      <c r="BK45" s="71" t="n"/>
      <c r="BL45" s="273" t="n"/>
      <c r="BM45" s="69" t="n">
        <v>2</v>
      </c>
      <c r="BN45" s="71" t="n"/>
      <c r="BO45" s="71" t="n"/>
      <c r="BP45" s="71" t="n"/>
      <c r="BQ45" s="71" t="n"/>
      <c r="BR45" s="273" t="n"/>
      <c r="BS45" s="69" t="n">
        <v>2</v>
      </c>
      <c r="BT45" s="71" t="n">
        <v>2</v>
      </c>
      <c r="BU45" s="71" t="n">
        <v>1</v>
      </c>
      <c r="BV45" s="71" t="n"/>
      <c r="BW45" s="71" t="n">
        <v>1</v>
      </c>
      <c r="BX45" s="273" t="n"/>
      <c r="BZ45" s="274">
        <f>+E46+K46+Q46+W46+AC46+AI46+AO46+AU46+BA46+BG46+BM46+BS46</f>
        <v/>
      </c>
      <c r="CA45" s="275">
        <f>+F46+L46+R46+X46+AD46+AJ46+AP46+AV46+BB46+BH46+BN46+BT46</f>
        <v/>
      </c>
      <c r="CB45" s="275">
        <f>+G46+M46+S46+Y46+AE46+AK46+AQ46+AW46+BC46+BI46+BO46+BU46</f>
        <v/>
      </c>
      <c r="CC45" s="275">
        <f>+H46+N46+T46+Z46+AF46+AL46+AR46+AX46+BD46+BJ46+BP46+BV46</f>
        <v/>
      </c>
      <c r="CD45" s="276">
        <f>+I46+O46+U46+AA46+AG46+AM46+AS46+AY46+BE46+BK46+BQ46+BW46</f>
        <v/>
      </c>
      <c r="CE45" s="142">
        <f>+J46+P46+V46+AB46+AH46+AN46+AT46+AZ46+BF46+BL46+BR46+BX46</f>
        <v/>
      </c>
    </row>
    <row r="46">
      <c r="A46" s="71" t="n">
        <v>43</v>
      </c>
      <c r="B46" s="137" t="inlineStr">
        <is>
          <t>น.ส.</t>
        </is>
      </c>
      <c r="C46" s="64" t="inlineStr">
        <is>
          <t>กิ่งกาญจน์</t>
        </is>
      </c>
      <c r="D46" s="14" t="inlineStr">
        <is>
          <t>นาคสังข์</t>
        </is>
      </c>
      <c r="E46" s="69" t="n"/>
      <c r="F46" s="71" t="n">
        <v>1</v>
      </c>
      <c r="G46" s="71" t="n"/>
      <c r="H46" s="71" t="n"/>
      <c r="I46" s="71" t="n"/>
      <c r="J46" s="273" t="n"/>
      <c r="K46" s="69" t="n"/>
      <c r="L46" s="71" t="n"/>
      <c r="M46" s="71" t="n"/>
      <c r="N46" s="71" t="n"/>
      <c r="O46" s="71" t="n"/>
      <c r="P46" s="273" t="n"/>
      <c r="Q46" s="69" t="n"/>
      <c r="R46" s="71" t="n"/>
      <c r="S46" s="71" t="n"/>
      <c r="T46" s="71" t="n"/>
      <c r="U46" s="71" t="n"/>
      <c r="V46" s="273" t="n"/>
      <c r="W46" s="69" t="n"/>
      <c r="X46" s="71" t="n"/>
      <c r="Y46" s="71" t="n"/>
      <c r="Z46" s="71" t="n"/>
      <c r="AA46" s="71" t="n"/>
      <c r="AB46" s="273" t="n"/>
      <c r="AC46" s="69" t="n"/>
      <c r="AD46" s="71" t="n"/>
      <c r="AE46" s="71" t="n"/>
      <c r="AF46" s="71" t="n"/>
      <c r="AG46" s="71" t="n"/>
      <c r="AH46" s="273" t="n"/>
      <c r="AI46" s="69" t="n"/>
      <c r="AJ46" s="71" t="n"/>
      <c r="AK46" s="71" t="n"/>
      <c r="AL46" s="71" t="n"/>
      <c r="AM46" s="71" t="n"/>
      <c r="AN46" s="273" t="n"/>
      <c r="AO46" s="69" t="n"/>
      <c r="AP46" s="71" t="n"/>
      <c r="AQ46" s="71" t="n"/>
      <c r="AR46" s="71" t="n"/>
      <c r="AS46" s="71" t="n"/>
      <c r="AT46" s="273" t="n"/>
      <c r="AU46" s="69" t="n"/>
      <c r="AV46" s="71" t="n">
        <v>2</v>
      </c>
      <c r="AW46" s="71" t="n"/>
      <c r="AX46" s="71" t="n"/>
      <c r="AY46" s="71" t="n"/>
      <c r="AZ46" s="273" t="n"/>
      <c r="BA46" s="69" t="n"/>
      <c r="BB46" s="71" t="n"/>
      <c r="BC46" s="71" t="n"/>
      <c r="BD46" s="71" t="n"/>
      <c r="BE46" s="71" t="n"/>
      <c r="BF46" s="273" t="n"/>
      <c r="BG46" s="69" t="n"/>
      <c r="BH46" s="71" t="n"/>
      <c r="BI46" s="71" t="n"/>
      <c r="BJ46" s="71" t="n"/>
      <c r="BK46" s="71" t="n"/>
      <c r="BL46" s="273" t="n"/>
      <c r="BM46" s="69" t="n"/>
      <c r="BN46" s="71" t="n"/>
      <c r="BO46" s="71" t="n"/>
      <c r="BP46" s="71" t="n"/>
      <c r="BQ46" s="71" t="n"/>
      <c r="BR46" s="273" t="n"/>
      <c r="BS46" s="69" t="n"/>
      <c r="BT46" s="71" t="n"/>
      <c r="BU46" s="71" t="n"/>
      <c r="BV46" s="71" t="n"/>
      <c r="BW46" s="71" t="n"/>
      <c r="BX46" s="273" t="n"/>
      <c r="BZ46" s="274">
        <f>+E47+K47+Q47+W47+AC47+AI47+AO47+AU47+BA47+BG47+BM47+BS47</f>
        <v/>
      </c>
      <c r="CA46" s="275">
        <f>+F47+L47+R47+X47+AD47+AJ47+AP47+AV47+BB47+BH47+BN47+BT47</f>
        <v/>
      </c>
      <c r="CB46" s="275">
        <f>+G47+M47+S47+Y47+AE47+AK47+AQ47+AW47+BC47+BI47+BO47+BU47</f>
        <v/>
      </c>
      <c r="CC46" s="275">
        <f>+H47+N47+T47+Z47+AF47+AL47+AR47+AX47+BD47+BJ47+BP47+BV47</f>
        <v/>
      </c>
      <c r="CD46" s="276">
        <f>+I47+O47+U47+AA47+AG47+AM47+AS47+AY47+BE47+BK47+BQ47+BW47</f>
        <v/>
      </c>
      <c r="CE46" s="142">
        <f>+J47+P47+V47+AB47+AH47+AN47+AT47+AZ47+BF47+BL47+BR47+BX47</f>
        <v/>
      </c>
    </row>
    <row r="47">
      <c r="A47" s="71" t="n">
        <v>44</v>
      </c>
      <c r="B47" s="137" t="inlineStr">
        <is>
          <t>น.ส.</t>
        </is>
      </c>
      <c r="C47" s="64" t="inlineStr">
        <is>
          <t>จันทร์สุรีย์</t>
        </is>
      </c>
      <c r="D47" s="14" t="inlineStr">
        <is>
          <t>เปี่ยมสิน</t>
        </is>
      </c>
      <c r="E47" s="69" t="n"/>
      <c r="F47" s="71" t="n">
        <v>0.5</v>
      </c>
      <c r="G47" s="71" t="n"/>
      <c r="H47" s="71" t="n"/>
      <c r="I47" s="71" t="n"/>
      <c r="J47" s="273" t="n"/>
      <c r="K47" s="69" t="n"/>
      <c r="L47" s="71" t="n"/>
      <c r="M47" s="71" t="n"/>
      <c r="N47" s="71" t="n"/>
      <c r="O47" s="71" t="n"/>
      <c r="P47" s="273" t="n"/>
      <c r="Q47" s="69" t="n"/>
      <c r="R47" s="71" t="n">
        <v>1</v>
      </c>
      <c r="S47" s="71" t="n"/>
      <c r="T47" s="71" t="n"/>
      <c r="U47" s="71" t="n"/>
      <c r="V47" s="273" t="n"/>
      <c r="W47" s="69" t="n"/>
      <c r="X47" s="71" t="n">
        <v>1</v>
      </c>
      <c r="Y47" s="71" t="n"/>
      <c r="Z47" s="71" t="n"/>
      <c r="AA47" s="71" t="n"/>
      <c r="AB47" s="273" t="n"/>
      <c r="AC47" s="69" t="n"/>
      <c r="AD47" s="71" t="n">
        <v>3</v>
      </c>
      <c r="AE47" s="71" t="n"/>
      <c r="AF47" s="71" t="n"/>
      <c r="AG47" s="71" t="n"/>
      <c r="AH47" s="273" t="n"/>
      <c r="AI47" s="69" t="n"/>
      <c r="AJ47" s="71" t="n"/>
      <c r="AK47" s="71" t="n"/>
      <c r="AL47" s="71" t="n"/>
      <c r="AM47" s="71" t="n"/>
      <c r="AN47" s="273" t="n"/>
      <c r="AO47" s="69" t="n"/>
      <c r="AP47" s="71" t="n"/>
      <c r="AQ47" s="71" t="n"/>
      <c r="AR47" s="71" t="n"/>
      <c r="AS47" s="71" t="n"/>
      <c r="AT47" s="273" t="n"/>
      <c r="AU47" s="69" t="n"/>
      <c r="AV47" s="71" t="n"/>
      <c r="AW47" s="71" t="n"/>
      <c r="AX47" s="71" t="n"/>
      <c r="AY47" s="71" t="n"/>
      <c r="AZ47" s="273" t="n"/>
      <c r="BA47" s="69" t="n"/>
      <c r="BB47" s="71" t="n"/>
      <c r="BC47" s="71" t="n"/>
      <c r="BD47" s="71" t="n"/>
      <c r="BE47" s="71" t="n"/>
      <c r="BF47" s="273" t="n"/>
      <c r="BG47" s="69" t="n"/>
      <c r="BH47" s="71" t="n">
        <v>0.5</v>
      </c>
      <c r="BI47" s="71" t="n">
        <v>0.5</v>
      </c>
      <c r="BJ47" s="71" t="n">
        <v>0.5</v>
      </c>
      <c r="BK47" s="71" t="n"/>
      <c r="BL47" s="273" t="n"/>
      <c r="BM47" s="69" t="n"/>
      <c r="BN47" s="71" t="n"/>
      <c r="BO47" s="71" t="n"/>
      <c r="BP47" s="71" t="n"/>
      <c r="BQ47" s="71" t="n"/>
      <c r="BR47" s="273" t="n"/>
      <c r="BS47" s="69" t="n"/>
      <c r="BT47" s="71" t="n"/>
      <c r="BU47" s="71" t="n"/>
      <c r="BV47" s="71" t="n"/>
      <c r="BW47" s="71" t="n"/>
      <c r="BX47" s="273" t="n"/>
      <c r="BZ47" s="274">
        <f>+E48+K48+Q48+W48+AC48+AI48+AO48+AU48+BA48+BG48+BM48+BS48</f>
        <v/>
      </c>
      <c r="CA47" s="275">
        <f>+F48+L48+R48+X48+AD48+AJ48+AP48+AV48+BB48+BH48+BN48+BT48</f>
        <v/>
      </c>
      <c r="CB47" s="275">
        <f>+G48+M48+S48+Y48+AE48+AK48+AQ48+AW48+BC48+BI48+BO48+BU48</f>
        <v/>
      </c>
      <c r="CC47" s="275">
        <f>+H48+N48+T48+Z48+AF48+AL48+AR48+AX48+BD48+BJ48+BP48+BV48</f>
        <v/>
      </c>
      <c r="CD47" s="276">
        <f>+I48+O48+U48+AA48+AG48+AM48+AS48+AY48+BE48+BK48+BQ48+BW48</f>
        <v/>
      </c>
      <c r="CE47" s="142">
        <f>+J48+P48+V48+AB48+AH48+AN48+AT48+AZ48+BF48+BL48+BR48+BX48</f>
        <v/>
      </c>
      <c r="CF47" s="215" t="n"/>
    </row>
    <row r="48" ht="21" customHeight="1">
      <c r="A48" s="71" t="n">
        <v>45</v>
      </c>
      <c r="B48" s="137" t="inlineStr">
        <is>
          <t>น.ส.</t>
        </is>
      </c>
      <c r="C48" s="216" t="inlineStr">
        <is>
          <t>ชลิดา</t>
        </is>
      </c>
      <c r="D48" s="14" t="inlineStr">
        <is>
          <t>ใจชื่น</t>
        </is>
      </c>
      <c r="E48" s="69" t="n"/>
      <c r="F48" s="71" t="n">
        <v>1</v>
      </c>
      <c r="G48" s="71" t="n"/>
      <c r="H48" s="71" t="n"/>
      <c r="I48" s="71" t="n"/>
      <c r="J48" s="273" t="n"/>
      <c r="K48" s="69" t="n"/>
      <c r="L48" s="71" t="n"/>
      <c r="M48" s="71" t="n"/>
      <c r="N48" s="71" t="n"/>
      <c r="O48" s="71" t="n"/>
      <c r="P48" s="273" t="n"/>
      <c r="Q48" s="69" t="n">
        <v>2</v>
      </c>
      <c r="R48" s="71" t="n"/>
      <c r="S48" s="71" t="n"/>
      <c r="T48" s="71" t="n"/>
      <c r="U48" s="71" t="n"/>
      <c r="V48" s="273" t="n"/>
      <c r="W48" s="69" t="n">
        <v>1</v>
      </c>
      <c r="X48" s="71" t="n"/>
      <c r="Y48" s="71" t="n"/>
      <c r="Z48" s="71" t="n"/>
      <c r="AA48" s="71" t="n"/>
      <c r="AB48" s="273" t="n"/>
      <c r="AC48" s="95" t="n">
        <v>1</v>
      </c>
      <c r="AD48" s="71" t="n"/>
      <c r="AE48" s="71" t="n"/>
      <c r="AF48" s="71" t="n"/>
      <c r="AG48" s="71" t="n"/>
      <c r="AH48" s="273" t="n"/>
      <c r="AI48" s="69" t="n">
        <v>1</v>
      </c>
      <c r="AJ48" s="71" t="n"/>
      <c r="AK48" s="71" t="n"/>
      <c r="AL48" s="71" t="n"/>
      <c r="AM48" s="71" t="n"/>
      <c r="AN48" s="273" t="n"/>
      <c r="AO48" s="69" t="n"/>
      <c r="AP48" s="71" t="n"/>
      <c r="AQ48" s="71" t="n"/>
      <c r="AR48" s="71" t="n"/>
      <c r="AS48" s="71" t="n"/>
      <c r="AT48" s="273" t="n"/>
      <c r="AU48" s="69" t="n"/>
      <c r="AV48" s="71" t="n">
        <v>0.5</v>
      </c>
      <c r="AW48" s="71" t="n"/>
      <c r="AX48" s="71" t="n"/>
      <c r="AY48" s="71" t="n"/>
      <c r="AZ48" s="273" t="n"/>
      <c r="BA48" s="69" t="n">
        <v>1</v>
      </c>
      <c r="BB48" s="71" t="n"/>
      <c r="BC48" s="71" t="n"/>
      <c r="BD48" s="71" t="n"/>
      <c r="BE48" s="71" t="n"/>
      <c r="BF48" s="273" t="n"/>
      <c r="BG48" s="69" t="n">
        <v>1</v>
      </c>
      <c r="BH48" s="71" t="n">
        <v>1</v>
      </c>
      <c r="BI48" s="71" t="n"/>
      <c r="BJ48" s="71" t="n"/>
      <c r="BK48" s="71" t="n"/>
      <c r="BL48" s="273" t="n"/>
      <c r="BM48" s="69" t="n"/>
      <c r="BN48" s="71" t="n">
        <v>1.5</v>
      </c>
      <c r="BO48" s="71" t="n"/>
      <c r="BP48" s="71" t="n"/>
      <c r="BQ48" s="71" t="n"/>
      <c r="BR48" s="273" t="n"/>
      <c r="BS48" s="69" t="n"/>
      <c r="BT48" s="71" t="n"/>
      <c r="BU48" s="71" t="n"/>
      <c r="BV48" s="71" t="n"/>
      <c r="BW48" s="71" t="n"/>
      <c r="BX48" s="273" t="n"/>
      <c r="BZ48" s="274">
        <f>+E49+K49+Q49+W49+AC49+AI49+AO49+AU49+BA49+BG49+BM49+BS49</f>
        <v/>
      </c>
      <c r="CA48" s="275">
        <f>+F49+L49+R49+X49+AD49+AJ49+AP49+AV49+BB49+BH49+BN49+BT49</f>
        <v/>
      </c>
      <c r="CB48" s="275">
        <f>+G49+M49+S49+Y49+AE49+AK49+AQ49+AW49+BC49+BI49+BO49+BU49</f>
        <v/>
      </c>
      <c r="CC48" s="275">
        <f>+H49+N49+T49+Z49+AF49+AL49+AR49+AX49+BD49+BJ49+BP49+BV49</f>
        <v/>
      </c>
      <c r="CD48" s="276">
        <f>+I49+O49+U49+AA49+AG49+AM49+AS49+AY49+BE49+BK49+BQ49+BW49</f>
        <v/>
      </c>
      <c r="CE48" s="142">
        <f>+J49+P49+V49+AB49+AH49+AN49+AT49+AZ49+BF49+BL49+BR49+BX49</f>
        <v/>
      </c>
    </row>
    <row r="49">
      <c r="A49" s="71" t="n">
        <v>46</v>
      </c>
      <c r="B49" s="137" t="inlineStr">
        <is>
          <t>นาง</t>
        </is>
      </c>
      <c r="C49" s="74" t="inlineStr">
        <is>
          <t>ตรีเนตร</t>
        </is>
      </c>
      <c r="D49" s="107" t="inlineStr">
        <is>
          <t>คูสุวรรณ์</t>
        </is>
      </c>
      <c r="E49" s="69" t="n"/>
      <c r="F49" s="71" t="n">
        <v>1.5</v>
      </c>
      <c r="G49" s="71" t="n"/>
      <c r="H49" s="71" t="n">
        <v>0.5</v>
      </c>
      <c r="I49" s="71" t="n">
        <v>1</v>
      </c>
      <c r="J49" s="273" t="n"/>
      <c r="K49" s="69" t="n">
        <v>0.5</v>
      </c>
      <c r="L49" s="71" t="n">
        <v>1</v>
      </c>
      <c r="M49" s="71" t="n"/>
      <c r="N49" s="71" t="n"/>
      <c r="O49" s="71" t="n">
        <v>1</v>
      </c>
      <c r="P49" s="273" t="n"/>
      <c r="Q49" s="69" t="n">
        <v>2</v>
      </c>
      <c r="R49" s="71" t="n">
        <v>3.5</v>
      </c>
      <c r="S49" s="71" t="n"/>
      <c r="T49" s="71" t="n">
        <v>0.5</v>
      </c>
      <c r="U49" s="71" t="n">
        <v>2</v>
      </c>
      <c r="V49" s="273" t="n">
        <v>0.0006944444444444445</v>
      </c>
      <c r="W49" s="69" t="n"/>
      <c r="X49" s="71" t="n"/>
      <c r="Y49" s="71" t="n"/>
      <c r="Z49" s="71" t="n">
        <v>0.5</v>
      </c>
      <c r="AA49" s="71" t="n"/>
      <c r="AB49" s="273" t="n"/>
      <c r="AC49" s="95" t="n">
        <v>1</v>
      </c>
      <c r="AD49" s="71" t="n"/>
      <c r="AE49" s="71" t="n"/>
      <c r="AF49" s="71" t="n"/>
      <c r="AG49" s="71" t="n">
        <v>1</v>
      </c>
      <c r="AH49" s="273" t="n"/>
      <c r="AI49" s="69" t="n">
        <v>2</v>
      </c>
      <c r="AJ49" s="71" t="n"/>
      <c r="AK49" s="71" t="n"/>
      <c r="AL49" s="71" t="n">
        <v>0.5</v>
      </c>
      <c r="AM49" s="71" t="n">
        <v>1</v>
      </c>
      <c r="AN49" s="273" t="n"/>
      <c r="AO49" s="69" t="n">
        <v>2</v>
      </c>
      <c r="AP49" s="71" t="n"/>
      <c r="AQ49" s="71" t="n"/>
      <c r="AR49" s="71" t="n">
        <v>1</v>
      </c>
      <c r="AS49" s="71" t="n"/>
      <c r="AT49" s="273" t="n"/>
      <c r="AU49" s="69" t="n">
        <v>1</v>
      </c>
      <c r="AV49" s="71" t="n"/>
      <c r="AW49" s="71" t="n"/>
      <c r="AX49" s="71" t="n">
        <v>1</v>
      </c>
      <c r="AY49" s="71" t="n"/>
      <c r="AZ49" s="273" t="n"/>
      <c r="BA49" s="69" t="n"/>
      <c r="BB49" s="71" t="n"/>
      <c r="BC49" s="71" t="n"/>
      <c r="BD49" s="71" t="n"/>
      <c r="BE49" s="71" t="n"/>
      <c r="BF49" s="273" t="n"/>
      <c r="BG49" s="69" t="n">
        <v>7</v>
      </c>
      <c r="BH49" s="71" t="n"/>
      <c r="BI49" s="71" t="n">
        <v>1</v>
      </c>
      <c r="BJ49" s="71" t="n"/>
      <c r="BK49" s="71" t="n"/>
      <c r="BL49" s="273" t="n"/>
      <c r="BM49" s="69" t="n">
        <v>12</v>
      </c>
      <c r="BN49" s="71" t="n"/>
      <c r="BO49" s="71" t="n"/>
      <c r="BP49" s="71" t="n">
        <v>0.5</v>
      </c>
      <c r="BQ49" s="71" t="n"/>
      <c r="BR49" s="273" t="n"/>
      <c r="BS49" s="69" t="n"/>
      <c r="BT49" s="71" t="n"/>
      <c r="BU49" s="71" t="n"/>
      <c r="BV49" s="71" t="n"/>
      <c r="BW49" s="71" t="n"/>
      <c r="BX49" s="273" t="n"/>
      <c r="BZ49" s="274">
        <f>+E50+K50+Q50+W50+AC50+AI50+AO50+AU50+BA50+BG50+BM50+BS50</f>
        <v/>
      </c>
      <c r="CA49" s="275">
        <f>+F50+L50+R50+X50+AD50+AJ50+AP50+AV50+BB50+BH50+BN50+BT50</f>
        <v/>
      </c>
      <c r="CB49" s="275">
        <f>+G50+M50+S50+Y50+AE50+AK50+AQ50+AW50+BC50+BI50+BO50+BU50</f>
        <v/>
      </c>
      <c r="CC49" s="275">
        <f>+H50+N50+T50+Z50+AF50+AL50+AR50+AX50+BD50+BJ50+BP50+BV50</f>
        <v/>
      </c>
      <c r="CD49" s="276">
        <f>+I50+O50+U50+AA50+AG50+AM50+AS50+AY50+BE50+BK50+BQ50+BW50</f>
        <v/>
      </c>
      <c r="CE49" s="142">
        <f>+J50+P50+V50+AB50+AH50+AN50+AT50+AZ50+BF50+BL50+BR50+BX50</f>
        <v/>
      </c>
      <c r="CF49" s="215" t="n"/>
    </row>
    <row r="50" ht="21" customHeight="1">
      <c r="A50" s="71" t="n">
        <v>47</v>
      </c>
      <c r="B50" s="137" t="inlineStr">
        <is>
          <t>นาง</t>
        </is>
      </c>
      <c r="C50" s="64" t="inlineStr">
        <is>
          <t>นันทพร</t>
        </is>
      </c>
      <c r="D50" s="14" t="inlineStr">
        <is>
          <t>สุภาผล</t>
        </is>
      </c>
      <c r="E50" s="69" t="n"/>
      <c r="F50" s="71" t="n"/>
      <c r="G50" s="71" t="n"/>
      <c r="H50" s="71" t="n"/>
      <c r="I50" s="71" t="n"/>
      <c r="J50" s="273" t="n"/>
      <c r="K50" s="69" t="n"/>
      <c r="L50" s="71" t="n"/>
      <c r="M50" s="71" t="n"/>
      <c r="N50" s="71" t="n"/>
      <c r="O50" s="71" t="n"/>
      <c r="P50" s="273" t="n"/>
      <c r="Q50" s="69" t="n"/>
      <c r="R50" s="71" t="n"/>
      <c r="S50" s="71" t="n"/>
      <c r="T50" s="71" t="n"/>
      <c r="U50" s="71" t="n"/>
      <c r="V50" s="273" t="n"/>
      <c r="W50" s="69" t="n"/>
      <c r="X50" s="71" t="n"/>
      <c r="Y50" s="71" t="n"/>
      <c r="Z50" s="71" t="n"/>
      <c r="AA50" s="71" t="n"/>
      <c r="AB50" s="273" t="n"/>
      <c r="AC50" s="95" t="n"/>
      <c r="AD50" s="71" t="n"/>
      <c r="AE50" s="71" t="n"/>
      <c r="AF50" s="71" t="n"/>
      <c r="AG50" s="71" t="n"/>
      <c r="AH50" s="273" t="n"/>
      <c r="AI50" s="69" t="n">
        <v>2</v>
      </c>
      <c r="AJ50" s="71" t="n">
        <v>1</v>
      </c>
      <c r="AK50" s="71" t="n"/>
      <c r="AL50" s="71" t="n"/>
      <c r="AM50" s="71" t="n"/>
      <c r="AN50" s="273" t="n"/>
      <c r="AO50" s="69" t="n"/>
      <c r="AP50" s="71" t="n"/>
      <c r="AQ50" s="71" t="n"/>
      <c r="AR50" s="71" t="n"/>
      <c r="AS50" s="71" t="n"/>
      <c r="AT50" s="273" t="n"/>
      <c r="AU50" s="69" t="n"/>
      <c r="AV50" s="71" t="n"/>
      <c r="AW50" s="71" t="n"/>
      <c r="AX50" s="71" t="n"/>
      <c r="AY50" s="71" t="n"/>
      <c r="AZ50" s="273" t="n"/>
      <c r="BA50" s="69" t="n"/>
      <c r="BB50" s="71" t="n"/>
      <c r="BC50" s="71" t="n"/>
      <c r="BD50" s="71" t="n"/>
      <c r="BE50" s="71" t="n"/>
      <c r="BF50" s="273" t="n"/>
      <c r="BG50" s="69" t="n"/>
      <c r="BH50" s="71" t="n">
        <v>1</v>
      </c>
      <c r="BI50" s="71" t="n"/>
      <c r="BJ50" s="71" t="n"/>
      <c r="BK50" s="71" t="n"/>
      <c r="BL50" s="273" t="n"/>
      <c r="BM50" s="69" t="n"/>
      <c r="BN50" s="71" t="n">
        <v>1</v>
      </c>
      <c r="BO50" s="71" t="n"/>
      <c r="BP50" s="71" t="n"/>
      <c r="BQ50" s="71" t="n"/>
      <c r="BR50" s="273" t="n"/>
      <c r="BS50" s="69" t="n"/>
      <c r="BT50" s="71" t="n"/>
      <c r="BU50" s="71" t="n"/>
      <c r="BV50" s="71" t="n"/>
      <c r="BW50" s="71" t="n"/>
      <c r="BX50" s="273" t="n"/>
      <c r="BZ50" s="274">
        <f>+E51+K51+Q51+W51+AC51+AI51+AO51+AU51+BA51+BG51+BM51+BS51</f>
        <v/>
      </c>
      <c r="CA50" s="275">
        <f>+F51+L51+R51+X51+AD51+AJ51+AP51+AV51+BB51+BH51+BN51+BT51</f>
        <v/>
      </c>
      <c r="CB50" s="275">
        <f>+G51+M51+S51+Y51+AE51+AK51+AQ51+AW51+BC51+BI51+BO51+BU51</f>
        <v/>
      </c>
      <c r="CC50" s="275">
        <f>+H51+N51+T51+Z51+AF51+AL51+AR51+AX51+BD51+BJ51+BP51+BV51</f>
        <v/>
      </c>
      <c r="CD50" s="276">
        <f>+I51+O51+U51+AA51+AG51+AM51+AS51+AY51+BE51+BK51+BQ51+BW51</f>
        <v/>
      </c>
      <c r="CE50" s="142">
        <f>+J51+P51+V51+AB51+AH51+AN51+AT51+AZ51+BF51+BL51+BR51+BX51</f>
        <v/>
      </c>
      <c r="CF50" s="215" t="n"/>
    </row>
    <row r="51" ht="21" customHeight="1">
      <c r="A51" s="71" t="n">
        <v>48</v>
      </c>
      <c r="B51" s="137" t="inlineStr">
        <is>
          <t>น.ส.</t>
        </is>
      </c>
      <c r="C51" s="64" t="inlineStr">
        <is>
          <t>น้ำอ้อย</t>
        </is>
      </c>
      <c r="D51" s="14" t="inlineStr">
        <is>
          <t>อุ่มแสง</t>
        </is>
      </c>
      <c r="E51" s="69" t="n"/>
      <c r="F51" s="71" t="n">
        <v>1.5</v>
      </c>
      <c r="G51" s="71" t="n"/>
      <c r="H51" s="71" t="n"/>
      <c r="I51" s="71" t="n"/>
      <c r="J51" s="273" t="n">
        <v>0.0006944444444444445</v>
      </c>
      <c r="K51" s="69" t="n">
        <v>1</v>
      </c>
      <c r="L51" s="71" t="n">
        <v>1</v>
      </c>
      <c r="M51" s="71" t="n"/>
      <c r="N51" s="71" t="n"/>
      <c r="O51" s="71" t="n"/>
      <c r="P51" s="273" t="n">
        <v>0.002777777777777778</v>
      </c>
      <c r="Q51" s="69" t="n">
        <v>4</v>
      </c>
      <c r="R51" s="71" t="n"/>
      <c r="S51" s="71" t="n"/>
      <c r="T51" s="71" t="n"/>
      <c r="U51" s="71" t="n"/>
      <c r="V51" s="273" t="n"/>
      <c r="W51" s="69" t="n">
        <v>1</v>
      </c>
      <c r="X51" s="71" t="n"/>
      <c r="Y51" s="71" t="n"/>
      <c r="Z51" s="71" t="n"/>
      <c r="AA51" s="71" t="n"/>
      <c r="AB51" s="273" t="n">
        <v>0.002777777777777778</v>
      </c>
      <c r="AC51" s="95" t="n">
        <v>1</v>
      </c>
      <c r="AD51" s="71" t="n"/>
      <c r="AE51" s="71" t="n"/>
      <c r="AF51" s="71" t="n"/>
      <c r="AG51" s="71" t="n"/>
      <c r="AH51" s="273" t="n"/>
      <c r="AI51" s="95" t="n"/>
      <c r="AJ51" s="71" t="n">
        <v>1</v>
      </c>
      <c r="AK51" s="71" t="n"/>
      <c r="AL51" s="71" t="n"/>
      <c r="AM51" s="71" t="n"/>
      <c r="AN51" s="273" t="n"/>
      <c r="AO51" s="69" t="n"/>
      <c r="AP51" s="71" t="n"/>
      <c r="AQ51" s="71" t="n"/>
      <c r="AR51" s="71" t="n"/>
      <c r="AS51" s="71" t="n"/>
      <c r="AT51" s="273" t="n"/>
      <c r="AU51" s="69" t="n"/>
      <c r="AV51" s="71" t="n">
        <v>2</v>
      </c>
      <c r="AW51" s="71" t="n"/>
      <c r="AX51" s="71" t="n"/>
      <c r="AY51" s="71" t="n"/>
      <c r="AZ51" s="273" t="n"/>
      <c r="BA51" s="69" t="n"/>
      <c r="BB51" s="71" t="n"/>
      <c r="BC51" s="71" t="n"/>
      <c r="BD51" s="71" t="n">
        <v>1</v>
      </c>
      <c r="BE51" s="71" t="n"/>
      <c r="BF51" s="273" t="n"/>
      <c r="BG51" s="69" t="n">
        <v>1</v>
      </c>
      <c r="BH51" s="71" t="n"/>
      <c r="BI51" s="71" t="n">
        <v>2</v>
      </c>
      <c r="BJ51" s="71" t="n"/>
      <c r="BK51" s="71" t="n"/>
      <c r="BL51" s="273" t="n">
        <v>0.002083333333333333</v>
      </c>
      <c r="BM51" s="69" t="n">
        <v>3</v>
      </c>
      <c r="BN51" s="71" t="n"/>
      <c r="BO51" s="71" t="n"/>
      <c r="BP51" s="71" t="n"/>
      <c r="BQ51" s="71" t="n"/>
      <c r="BR51" s="273" t="n"/>
      <c r="BS51" s="69" t="n"/>
      <c r="BT51" s="71" t="n"/>
      <c r="BU51" s="71" t="n"/>
      <c r="BV51" s="71" t="n"/>
      <c r="BW51" s="71" t="n"/>
      <c r="BX51" s="273" t="n"/>
      <c r="BZ51" s="274">
        <f>+E52+K52+Q52+W52+AC52+AI52+AO52+AU52+BA52+BG52+BM52+BS52</f>
        <v/>
      </c>
      <c r="CA51" s="275">
        <f>+F52+L52+R52+X52+AD52+AJ52+AP52+AV52+BB52+BH52+BN52+BT52</f>
        <v/>
      </c>
      <c r="CB51" s="275">
        <f>+G52+M52+S52+Y52+AE52+AK52+AQ52+AW52+BC52+BI52+BO52+BU52</f>
        <v/>
      </c>
      <c r="CC51" s="275">
        <f>+H52+N52+T52+Z52+AF52+AL52+AR52+AX52+BD52+BJ52+BP52+BV52</f>
        <v/>
      </c>
      <c r="CD51" s="280">
        <f>+I52+O52+U52+AA52+AG52+AM52+AS52+AY52+BE52+BK52+BQ52+BW52</f>
        <v/>
      </c>
      <c r="CE51" s="148">
        <f>+J52+P52+V52+AB52+AH52+AN52+AT52+AZ52+BF52+BL52+BR52+BX52</f>
        <v/>
      </c>
    </row>
    <row r="52">
      <c r="A52" s="71" t="n">
        <v>49</v>
      </c>
      <c r="B52" s="137" t="inlineStr">
        <is>
          <t>น.ส.</t>
        </is>
      </c>
      <c r="C52" s="64" t="inlineStr">
        <is>
          <t>ประไพ</t>
        </is>
      </c>
      <c r="D52" s="14" t="inlineStr">
        <is>
          <t>ทั่งทอง</t>
        </is>
      </c>
      <c r="E52" s="69" t="n">
        <v>4</v>
      </c>
      <c r="F52" s="71" t="n"/>
      <c r="G52" s="71" t="n"/>
      <c r="H52" s="71" t="n"/>
      <c r="I52" s="71" t="n"/>
      <c r="J52" s="273" t="n"/>
      <c r="K52" s="95" t="n">
        <v>3.5</v>
      </c>
      <c r="L52" s="71" t="n"/>
      <c r="M52" s="71" t="n"/>
      <c r="N52" s="71" t="n"/>
      <c r="O52" s="84" t="n"/>
      <c r="P52" s="278" t="n"/>
      <c r="Q52" s="95" t="n">
        <v>3</v>
      </c>
      <c r="R52" s="71" t="n">
        <v>4</v>
      </c>
      <c r="S52" s="71" t="n"/>
      <c r="T52" s="71" t="n"/>
      <c r="U52" s="71" t="n">
        <v>1</v>
      </c>
      <c r="V52" s="278" t="n"/>
      <c r="W52" s="95" t="n">
        <v>0.5</v>
      </c>
      <c r="X52" s="71" t="n">
        <v>0.5</v>
      </c>
      <c r="Y52" s="71" t="n"/>
      <c r="Z52" s="71" t="n"/>
      <c r="AA52" s="71" t="n">
        <v>1</v>
      </c>
      <c r="AB52" s="273" t="n"/>
      <c r="AC52" s="95" t="n">
        <v>6</v>
      </c>
      <c r="AD52" s="71" t="n"/>
      <c r="AE52" s="71" t="n"/>
      <c r="AF52" s="71" t="n"/>
      <c r="AG52" s="71" t="n"/>
      <c r="AH52" s="273" t="n"/>
      <c r="AI52" s="95" t="n">
        <v>2.5</v>
      </c>
      <c r="AJ52" s="71" t="n"/>
      <c r="AK52" s="71" t="n"/>
      <c r="AL52" s="71" t="n"/>
      <c r="AM52" s="71" t="n">
        <v>2</v>
      </c>
      <c r="AN52" s="273" t="n"/>
      <c r="AO52" s="69" t="n">
        <v>1</v>
      </c>
      <c r="AP52" s="71" t="n"/>
      <c r="AQ52" s="71" t="n"/>
      <c r="AR52" s="71" t="n"/>
      <c r="AS52" s="71" t="n"/>
      <c r="AT52" s="273" t="n"/>
      <c r="AU52" s="69" t="n">
        <v>1</v>
      </c>
      <c r="AV52" s="71" t="n"/>
      <c r="AW52" s="71" t="n"/>
      <c r="AX52" s="71" t="n"/>
      <c r="AY52" s="71" t="n">
        <v>1</v>
      </c>
      <c r="AZ52" s="273" t="n"/>
      <c r="BA52" s="69" t="n"/>
      <c r="BB52" s="71" t="n">
        <v>0.5</v>
      </c>
      <c r="BC52" s="71" t="n"/>
      <c r="BD52" s="71" t="n"/>
      <c r="BE52" s="71" t="n"/>
      <c r="BF52" s="273" t="n"/>
      <c r="BG52" s="69" t="n">
        <v>3.5</v>
      </c>
      <c r="BH52" s="71" t="n">
        <v>1</v>
      </c>
      <c r="BI52" s="71" t="n">
        <v>2</v>
      </c>
      <c r="BJ52" s="71" t="n">
        <v>0.5</v>
      </c>
      <c r="BK52" s="71" t="n"/>
      <c r="BL52" s="273" t="n"/>
      <c r="BM52" s="69" t="n"/>
      <c r="BN52" s="71" t="n"/>
      <c r="BO52" s="71" t="n"/>
      <c r="BP52" s="71" t="n"/>
      <c r="BQ52" s="71" t="n">
        <v>1</v>
      </c>
      <c r="BR52" s="273" t="n"/>
      <c r="BS52" s="69" t="n">
        <v>1.5</v>
      </c>
      <c r="BT52" s="71" t="n"/>
      <c r="BU52" s="71" t="n"/>
      <c r="BV52" s="71" t="n"/>
      <c r="BW52" s="71" t="n"/>
      <c r="BX52" s="273" t="n"/>
      <c r="BZ52" s="274">
        <f>+E53+K53+Q53+W53+AC53+AI53+AO53+AU53+BA53+BG53+BM53+BS53</f>
        <v/>
      </c>
      <c r="CA52" s="275">
        <f>+F53+L53+R53+X53+AD53+AJ53+AP53+AV53+BB53+BH53+BN53+BT53</f>
        <v/>
      </c>
      <c r="CB52" s="275">
        <f>+G53+M53+S53+Y53+AE53+AK53+AQ53+AW53+BC53+BI53+BO53+BU53</f>
        <v/>
      </c>
      <c r="CC52" s="275">
        <f>+H53+N53+T53+Z53+AF53+AL53+AR53+AX53+BD53+BJ53+BP53+BV53</f>
        <v/>
      </c>
      <c r="CD52" s="280">
        <f>+I53+O53+U53+AA53+AG53+AM53+AS53+AY53+BE53+BK53+BQ53+BW53</f>
        <v/>
      </c>
      <c r="CE52" s="148">
        <f>+J53+P53+V53+AB53+AH53+AN53+AT53+AZ53+BF53+BL53+BR53+BX53</f>
        <v/>
      </c>
      <c r="CF52" s="149" t="n"/>
      <c r="CG52" s="149" t="n"/>
      <c r="CH52" s="149" t="n"/>
    </row>
    <row r="53">
      <c r="A53" s="71" t="n">
        <v>50</v>
      </c>
      <c r="B53" s="137" t="inlineStr">
        <is>
          <t>นาย</t>
        </is>
      </c>
      <c r="C53" s="64" t="inlineStr">
        <is>
          <t>ประเสริฐ</t>
        </is>
      </c>
      <c r="D53" s="14" t="inlineStr">
        <is>
          <t>กลั่นเรือง</t>
        </is>
      </c>
      <c r="E53" s="69" t="n"/>
      <c r="F53" s="84" t="n"/>
      <c r="G53" s="84" t="n"/>
      <c r="H53" s="71" t="n"/>
      <c r="I53" s="71" t="n"/>
      <c r="J53" s="273" t="n"/>
      <c r="K53" s="82" t="n"/>
      <c r="L53" s="84" t="n"/>
      <c r="M53" s="84" t="n"/>
      <c r="N53" s="84" t="n"/>
      <c r="O53" s="84" t="n"/>
      <c r="P53" s="278" t="n"/>
      <c r="Q53" s="95" t="n"/>
      <c r="R53" s="71" t="n"/>
      <c r="S53" s="71" t="n"/>
      <c r="T53" s="71" t="n"/>
      <c r="U53" s="71" t="n"/>
      <c r="V53" s="278" t="n">
        <v>0.0006944444444444445</v>
      </c>
      <c r="W53" s="95" t="n">
        <v>2</v>
      </c>
      <c r="X53" s="71" t="n">
        <v>1</v>
      </c>
      <c r="Y53" s="71" t="n"/>
      <c r="Z53" s="71" t="n"/>
      <c r="AA53" s="71" t="n"/>
      <c r="AB53" s="273" t="n"/>
      <c r="AC53" s="95" t="n"/>
      <c r="AD53" s="71" t="n">
        <v>1</v>
      </c>
      <c r="AE53" s="71" t="n"/>
      <c r="AF53" s="71" t="n"/>
      <c r="AG53" s="71" t="n"/>
      <c r="AH53" s="273" t="n"/>
      <c r="AI53" s="95" t="n"/>
      <c r="AJ53" s="71" t="n"/>
      <c r="AK53" s="71" t="n"/>
      <c r="AL53" s="71" t="n"/>
      <c r="AM53" s="71" t="n"/>
      <c r="AN53" s="273" t="n"/>
      <c r="AO53" s="69" t="n"/>
      <c r="AP53" s="71" t="n"/>
      <c r="AQ53" s="71" t="n"/>
      <c r="AR53" s="71" t="n"/>
      <c r="AS53" s="71" t="n"/>
      <c r="AT53" s="273" t="n"/>
      <c r="AU53" s="69" t="n"/>
      <c r="AV53" s="71" t="n">
        <v>4</v>
      </c>
      <c r="AW53" s="71" t="n">
        <v>3</v>
      </c>
      <c r="AX53" s="71" t="n"/>
      <c r="AY53" s="71" t="n"/>
      <c r="AZ53" s="273" t="n"/>
      <c r="BA53" s="69" t="n"/>
      <c r="BB53" s="71" t="n"/>
      <c r="BC53" s="71" t="n"/>
      <c r="BD53" s="71" t="n"/>
      <c r="BE53" s="71" t="n"/>
      <c r="BF53" s="273" t="n"/>
      <c r="BG53" s="69" t="n"/>
      <c r="BH53" s="71" t="n"/>
      <c r="BI53" s="71" t="n">
        <v>5</v>
      </c>
      <c r="BJ53" s="71" t="n">
        <v>0.5</v>
      </c>
      <c r="BK53" s="71" t="n">
        <v>3</v>
      </c>
      <c r="BL53" s="273" t="n"/>
      <c r="BM53" s="69" t="n"/>
      <c r="BN53" s="71" t="n"/>
      <c r="BO53" s="71" t="n"/>
      <c r="BP53" s="71" t="n"/>
      <c r="BQ53" s="71" t="n"/>
      <c r="BR53" s="273" t="n"/>
      <c r="BS53" s="69" t="n"/>
      <c r="BT53" s="71" t="n"/>
      <c r="BU53" s="71" t="n"/>
      <c r="BV53" s="71" t="n"/>
      <c r="BW53" s="71" t="n"/>
      <c r="BX53" s="273" t="n"/>
      <c r="BZ53" s="274">
        <f>+E54+K54+Q54+W54+AC54+AI54+AO54+AU54+BA54+BG54+BM54+BS54</f>
        <v/>
      </c>
      <c r="CA53" s="275">
        <f>+F54+L54+R54+X54+AD54+AJ54+AP54+AV54+BB54+BH54+BN54+BT54</f>
        <v/>
      </c>
      <c r="CB53" s="275">
        <f>+G54+M54+S54+Y54+AE54+AK54+AQ54+AW54+BC54+BI54+BO54+BU54</f>
        <v/>
      </c>
      <c r="CC53" s="275">
        <f>+H54+N54+T54+Z54+AF54+AL54+AR54+AX54+BD54+BJ54+BP54+BV54</f>
        <v/>
      </c>
      <c r="CD53" s="280">
        <f>+I54+O54+U54+AA54+AG54+AM54+AS54+AY54+BE54+BK54+BQ54+BW54</f>
        <v/>
      </c>
      <c r="CE53" s="148">
        <f>+J54+P54+V54+AB54+AH54+AN54+AT54+AZ54+BF54+BL54+BR54+BX54</f>
        <v/>
      </c>
      <c r="CF53" s="149" t="n"/>
      <c r="CG53" s="149" t="n"/>
      <c r="CH53" s="149" t="n"/>
    </row>
    <row r="54">
      <c r="A54" s="71" t="n">
        <v>51</v>
      </c>
      <c r="B54" s="150" t="inlineStr">
        <is>
          <t>นาง</t>
        </is>
      </c>
      <c r="C54" s="64" t="inlineStr">
        <is>
          <t>ปาจารี</t>
        </is>
      </c>
      <c r="D54" s="14" t="inlineStr">
        <is>
          <t>สายะศิลปี</t>
        </is>
      </c>
      <c r="E54" s="69" t="n"/>
      <c r="F54" s="84" t="n"/>
      <c r="G54" s="84" t="n"/>
      <c r="H54" s="71" t="n"/>
      <c r="I54" s="71" t="n"/>
      <c r="J54" s="273" t="n"/>
      <c r="K54" s="82" t="n"/>
      <c r="L54" s="84" t="n"/>
      <c r="M54" s="84" t="n"/>
      <c r="N54" s="84" t="n"/>
      <c r="O54" s="84" t="n"/>
      <c r="P54" s="278" t="n"/>
      <c r="Q54" s="95" t="n"/>
      <c r="R54" s="71" t="n"/>
      <c r="S54" s="71" t="n"/>
      <c r="T54" s="71" t="n"/>
      <c r="U54" s="71" t="n"/>
      <c r="V54" s="278" t="n"/>
      <c r="W54" s="95" t="n"/>
      <c r="X54" s="71" t="n">
        <v>1</v>
      </c>
      <c r="Y54" s="71" t="n"/>
      <c r="Z54" s="71" t="n"/>
      <c r="AA54" s="71" t="n"/>
      <c r="AB54" s="273" t="n"/>
      <c r="AC54" s="95" t="n">
        <v>2</v>
      </c>
      <c r="AD54" s="71" t="n">
        <v>2</v>
      </c>
      <c r="AE54" s="71" t="n"/>
      <c r="AF54" s="71" t="n"/>
      <c r="AG54" s="71" t="n"/>
      <c r="AH54" s="273" t="n"/>
      <c r="AI54" s="95" t="n">
        <v>4.5</v>
      </c>
      <c r="AJ54" s="71" t="n">
        <v>1.5</v>
      </c>
      <c r="AK54" s="71" t="n"/>
      <c r="AL54" s="71" t="n"/>
      <c r="AM54" s="71" t="n"/>
      <c r="AN54" s="273" t="n"/>
      <c r="AO54" s="69" t="n">
        <v>1</v>
      </c>
      <c r="AP54" s="71" t="n">
        <v>1.5</v>
      </c>
      <c r="AQ54" s="71" t="n"/>
      <c r="AR54" s="71" t="n"/>
      <c r="AS54" s="71" t="n"/>
      <c r="AT54" s="273" t="n"/>
      <c r="AU54" s="69" t="n"/>
      <c r="AV54" s="71" t="n"/>
      <c r="AW54" s="71" t="n"/>
      <c r="AX54" s="71" t="n"/>
      <c r="AY54" s="71" t="n"/>
      <c r="AZ54" s="273" t="n"/>
      <c r="BA54" s="69" t="n">
        <v>1</v>
      </c>
      <c r="BB54" s="71" t="n"/>
      <c r="BC54" s="71" t="n"/>
      <c r="BD54" s="71" t="n"/>
      <c r="BE54" s="71" t="n"/>
      <c r="BF54" s="273" t="n"/>
      <c r="BG54" s="69" t="n">
        <v>1</v>
      </c>
      <c r="BH54" s="71" t="n"/>
      <c r="BI54" s="71" t="n"/>
      <c r="BJ54" s="71" t="n">
        <v>0.5</v>
      </c>
      <c r="BK54" s="71" t="n"/>
      <c r="BL54" s="273" t="n"/>
      <c r="BM54" s="69" t="n">
        <v>2</v>
      </c>
      <c r="BN54" s="71" t="n"/>
      <c r="BO54" s="71" t="n"/>
      <c r="BP54" s="71" t="n">
        <v>1</v>
      </c>
      <c r="BQ54" s="71" t="n"/>
      <c r="BR54" s="273" t="n"/>
      <c r="BS54" s="69" t="n"/>
      <c r="BT54" s="71" t="n"/>
      <c r="BU54" s="71" t="n">
        <v>1</v>
      </c>
      <c r="BV54" s="71" t="n"/>
      <c r="BW54" s="71" t="n"/>
      <c r="BX54" s="273" t="n"/>
      <c r="BZ54" s="274">
        <f>+E55+K55+Q55+W55+AC55+AI55+AO55+AU55+BA55+BG55+BM55+BS55</f>
        <v/>
      </c>
      <c r="CA54" s="275">
        <f>+F55+L55+R55+X55+AD55+AJ55+AP55+AV55+BB55+BH55+BN55+BT55</f>
        <v/>
      </c>
      <c r="CB54" s="275">
        <f>+G55+M55+S55+Y55+AE55+AK55+AQ55+AW55+BC55+BI55+BO55+BU55</f>
        <v/>
      </c>
      <c r="CC54" s="275">
        <f>+H55+N55+T55+Z55+AF55+AL55+AR55+AX55+BD55+BJ55+BP55+BV55</f>
        <v/>
      </c>
      <c r="CD54" s="280">
        <f>+I55+O55+U55+AA55+AG55+AM55+AS55+AY55+BE55+BK55+BQ55+BW55</f>
        <v/>
      </c>
      <c r="CE54" s="148">
        <f>+J55+P55+V55+AB55+AH55+AN55+AT55+AZ55+BF55+BL55+BR55+BX55</f>
        <v/>
      </c>
      <c r="CF54" s="149" t="n"/>
      <c r="CG54" s="149" t="n"/>
      <c r="CH54" s="149" t="n"/>
    </row>
    <row r="55">
      <c r="A55" s="71" t="n">
        <v>52</v>
      </c>
      <c r="B55" s="150" t="inlineStr">
        <is>
          <t>น.ส.</t>
        </is>
      </c>
      <c r="C55" s="108" t="inlineStr">
        <is>
          <t>พิชิตา</t>
        </is>
      </c>
      <c r="D55" s="217" t="inlineStr">
        <is>
          <t>ทองดี</t>
        </is>
      </c>
      <c r="E55" s="69" t="n"/>
      <c r="F55" s="71" t="n"/>
      <c r="G55" s="71" t="n"/>
      <c r="H55" s="71" t="n"/>
      <c r="I55" s="71" t="n"/>
      <c r="J55" s="273" t="n"/>
      <c r="K55" s="95" t="n"/>
      <c r="L55" s="71" t="n"/>
      <c r="M55" s="71" t="n"/>
      <c r="N55" s="71" t="n"/>
      <c r="O55" s="84" t="n"/>
      <c r="P55" s="278" t="n"/>
      <c r="Q55" s="96" t="n">
        <v>1</v>
      </c>
      <c r="R55" s="84" t="n">
        <v>2</v>
      </c>
      <c r="S55" s="84" t="n"/>
      <c r="T55" s="84" t="n"/>
      <c r="U55" s="84" t="n">
        <v>1</v>
      </c>
      <c r="V55" s="278" t="n"/>
      <c r="W55" s="95" t="n"/>
      <c r="X55" s="71" t="n"/>
      <c r="Y55" s="71" t="n"/>
      <c r="Z55" s="71" t="n"/>
      <c r="AA55" s="71" t="n">
        <v>3</v>
      </c>
      <c r="AB55" s="273" t="n"/>
      <c r="AC55" s="95" t="n"/>
      <c r="AD55" s="71" t="n">
        <v>1</v>
      </c>
      <c r="AE55" s="71" t="n"/>
      <c r="AF55" s="71" t="n"/>
      <c r="AG55" s="71" t="n"/>
      <c r="AH55" s="273" t="n"/>
      <c r="AI55" s="95" t="n">
        <v>3</v>
      </c>
      <c r="AJ55" s="71" t="n"/>
      <c r="AK55" s="71" t="n"/>
      <c r="AL55" s="71" t="n"/>
      <c r="AM55" s="71" t="n">
        <v>1</v>
      </c>
      <c r="AN55" s="273" t="n"/>
      <c r="AO55" s="69" t="n"/>
      <c r="AP55" s="71" t="n"/>
      <c r="AQ55" s="71" t="n"/>
      <c r="AR55" s="71" t="n"/>
      <c r="AS55" s="71" t="n"/>
      <c r="AT55" s="273" t="n"/>
      <c r="AU55" s="69" t="n"/>
      <c r="AV55" s="71" t="n"/>
      <c r="AW55" s="71" t="n"/>
      <c r="AX55" s="71" t="n"/>
      <c r="AY55" s="71" t="n"/>
      <c r="AZ55" s="273" t="n"/>
      <c r="BA55" s="69" t="n"/>
      <c r="BB55" s="71" t="n">
        <v>1</v>
      </c>
      <c r="BC55" s="71" t="n"/>
      <c r="BD55" s="71" t="n"/>
      <c r="BE55" s="71" t="n"/>
      <c r="BF55" s="273" t="n"/>
      <c r="BG55" s="69" t="n"/>
      <c r="BH55" s="71" t="n"/>
      <c r="BI55" s="71" t="n"/>
      <c r="BJ55" s="71" t="n"/>
      <c r="BK55" s="71" t="n"/>
      <c r="BL55" s="273" t="n"/>
      <c r="BM55" s="69" t="n"/>
      <c r="BN55" s="71" t="n">
        <v>0.5</v>
      </c>
      <c r="BO55" s="71" t="n"/>
      <c r="BP55" s="71" t="n"/>
      <c r="BQ55" s="71" t="n"/>
      <c r="BR55" s="273" t="n"/>
      <c r="BS55" s="69" t="n"/>
      <c r="BT55" s="71" t="n"/>
      <c r="BU55" s="71" t="n"/>
      <c r="BV55" s="71" t="n"/>
      <c r="BW55" s="71" t="n"/>
      <c r="BX55" s="273" t="n"/>
      <c r="BZ55" s="274">
        <f>+E56+K56+Q56+W56+AC56+AI56+AO56+AU56+BA56+BG56+BM56+BS56</f>
        <v/>
      </c>
      <c r="CA55" s="275">
        <f>+F56+L56+R56+X56+AD56+AJ56+AP56+AV56+BB56+BH56+BN56+BT56</f>
        <v/>
      </c>
      <c r="CB55" s="275">
        <f>+G56+M56+S56+Y56+AE56+AK56+AQ56+AW56+BC56+BI56+BO56+BU56</f>
        <v/>
      </c>
      <c r="CC55" s="275">
        <f>+H56+N56+T56+Z56+AF56+AL56+AR56+AX56+BD56+BJ56+BP56+BV56</f>
        <v/>
      </c>
      <c r="CD55" s="280">
        <f>+I56+O56+U56+AA56+AG56+AM56+AS56+AY56+BE56+BK56+BQ56+BW56</f>
        <v/>
      </c>
      <c r="CE55" s="148">
        <f>+J56+P56+V56+AB56+AH56+AN56+AT56+AZ56+BF56+BL56+BR56+BX56</f>
        <v/>
      </c>
      <c r="CF55" s="149" t="n"/>
      <c r="CG55" s="149" t="n"/>
      <c r="CH55" s="149" t="n"/>
    </row>
    <row r="56">
      <c r="A56" s="71" t="n">
        <v>53</v>
      </c>
      <c r="B56" s="151" t="inlineStr">
        <is>
          <t>นาง</t>
        </is>
      </c>
      <c r="C56" s="110" t="inlineStr">
        <is>
          <t>พิม</t>
        </is>
      </c>
      <c r="D56" s="106" t="inlineStr">
        <is>
          <t>มามี</t>
        </is>
      </c>
      <c r="E56" s="69" t="n"/>
      <c r="F56" s="71" t="n"/>
      <c r="G56" s="71" t="n"/>
      <c r="H56" s="71" t="n"/>
      <c r="I56" s="71" t="n">
        <v>1</v>
      </c>
      <c r="J56" s="273" t="n"/>
      <c r="K56" s="82" t="n">
        <v>1</v>
      </c>
      <c r="L56" s="84" t="n"/>
      <c r="M56" s="84" t="n"/>
      <c r="N56" s="84" t="n"/>
      <c r="O56" s="84" t="n"/>
      <c r="P56" s="278" t="n"/>
      <c r="Q56" s="82" t="n"/>
      <c r="R56" s="84" t="n"/>
      <c r="S56" s="84" t="n"/>
      <c r="T56" s="84" t="n"/>
      <c r="U56" s="84" t="n"/>
      <c r="V56" s="278" t="n"/>
      <c r="W56" s="82" t="n"/>
      <c r="X56" s="84" t="n"/>
      <c r="Y56" s="84" t="n"/>
      <c r="Z56" s="71" t="n"/>
      <c r="AA56" s="71" t="n"/>
      <c r="AB56" s="273" t="n"/>
      <c r="AC56" s="95" t="n">
        <v>1</v>
      </c>
      <c r="AD56" s="71" t="n"/>
      <c r="AE56" s="71" t="n"/>
      <c r="AF56" s="71" t="n"/>
      <c r="AG56" s="71" t="n"/>
      <c r="AH56" s="273" t="n"/>
      <c r="AI56" s="95" t="n">
        <v>1</v>
      </c>
      <c r="AJ56" s="71" t="n">
        <v>1</v>
      </c>
      <c r="AK56" s="71" t="n"/>
      <c r="AL56" s="71" t="n"/>
      <c r="AM56" s="71" t="n"/>
      <c r="AN56" s="273" t="n"/>
      <c r="AO56" s="69" t="n"/>
      <c r="AP56" s="71" t="n"/>
      <c r="AQ56" s="71" t="n"/>
      <c r="AR56" s="71" t="n"/>
      <c r="AS56" s="71" t="n"/>
      <c r="AT56" s="273" t="n"/>
      <c r="AU56" s="69" t="n"/>
      <c r="AV56" s="71" t="n"/>
      <c r="AW56" s="71" t="n"/>
      <c r="AX56" s="71" t="n"/>
      <c r="AY56" s="71" t="n">
        <v>1</v>
      </c>
      <c r="AZ56" s="273" t="n"/>
      <c r="BA56" s="69" t="n"/>
      <c r="BB56" s="71" t="n"/>
      <c r="BC56" s="71" t="n"/>
      <c r="BD56" s="71" t="n"/>
      <c r="BE56" s="71" t="n"/>
      <c r="BF56" s="273" t="n"/>
      <c r="BG56" s="69" t="n">
        <v>1</v>
      </c>
      <c r="BH56" s="71" t="n"/>
      <c r="BI56" s="71" t="n"/>
      <c r="BJ56" s="71" t="n"/>
      <c r="BK56" s="71" t="n">
        <v>1</v>
      </c>
      <c r="BL56" s="273" t="n"/>
      <c r="BM56" s="69" t="n"/>
      <c r="BN56" s="71" t="n"/>
      <c r="BO56" s="71" t="n"/>
      <c r="BP56" s="71" t="n"/>
      <c r="BQ56" s="71" t="n">
        <v>1</v>
      </c>
      <c r="BR56" s="273" t="n"/>
      <c r="BS56" s="69" t="n"/>
      <c r="BT56" s="71" t="n"/>
      <c r="BU56" s="71" t="n"/>
      <c r="BV56" s="71" t="n"/>
      <c r="BW56" s="71" t="n">
        <v>2</v>
      </c>
      <c r="BX56" s="273" t="n"/>
      <c r="BZ56" s="274">
        <f>+E57+K57+Q57+W57+AC57+AI57+AO57+AU57+BA57+BG57+BM57+BS57</f>
        <v/>
      </c>
      <c r="CA56" s="275">
        <f>+F57+L57+R57+X57+AD57+AJ57+AP57+AV57+BB57+BH57+BN57+BT57</f>
        <v/>
      </c>
      <c r="CB56" s="275">
        <f>+G57+M57+S57+Y57+AE57+AK57+AQ57+AW57+BC57+BI57+BO57+BU57</f>
        <v/>
      </c>
      <c r="CC56" s="275">
        <f>+H57+N57+T57+Z57+AF57+AL57+AR57+AX57+BD57+BJ57+BP57+BV57</f>
        <v/>
      </c>
      <c r="CD56" s="280">
        <f>+I57+O57+U57+AA57+AG57+AM57+AS57+AY57+BE57+BK57+BQ57+BW57</f>
        <v/>
      </c>
      <c r="CE56" s="148">
        <f>+J57+P57+V57+AB57+AH57+AN57+AT57+AZ57+BF57+BL57+BR57+BX57</f>
        <v/>
      </c>
      <c r="CF56" s="149" t="n"/>
      <c r="CG56" s="149" t="n"/>
      <c r="CH56" s="149" t="n"/>
    </row>
    <row r="57">
      <c r="A57" s="71" t="n">
        <v>54</v>
      </c>
      <c r="B57" s="137" t="inlineStr">
        <is>
          <t>นาย</t>
        </is>
      </c>
      <c r="C57" s="74" t="inlineStr">
        <is>
          <t>ภูวนัส</t>
        </is>
      </c>
      <c r="D57" s="107" t="inlineStr">
        <is>
          <t>พานทอง</t>
        </is>
      </c>
      <c r="E57" s="69" t="n"/>
      <c r="F57" s="71" t="n">
        <v>1.5</v>
      </c>
      <c r="G57" s="71" t="n"/>
      <c r="H57" s="71" t="n"/>
      <c r="I57" s="71" t="n">
        <v>1</v>
      </c>
      <c r="J57" s="273" t="n"/>
      <c r="K57" s="95" t="n"/>
      <c r="L57" s="71" t="n"/>
      <c r="M57" s="71" t="n"/>
      <c r="N57" s="71" t="n"/>
      <c r="O57" s="84" t="n"/>
      <c r="P57" s="278" t="n"/>
      <c r="Q57" s="96" t="n">
        <v>3</v>
      </c>
      <c r="R57" s="84" t="n"/>
      <c r="S57" s="84" t="n"/>
      <c r="T57" s="84" t="n"/>
      <c r="U57" s="84" t="n">
        <v>1</v>
      </c>
      <c r="V57" s="278" t="n"/>
      <c r="W57" s="95" t="n">
        <v>2</v>
      </c>
      <c r="X57" s="71" t="n">
        <v>1</v>
      </c>
      <c r="Y57" s="71" t="n"/>
      <c r="Z57" s="71" t="n"/>
      <c r="AA57" s="71" t="n">
        <v>1</v>
      </c>
      <c r="AB57" s="273" t="n"/>
      <c r="AC57" s="95" t="n"/>
      <c r="AD57" s="71" t="n"/>
      <c r="AE57" s="71" t="n"/>
      <c r="AF57" s="71" t="n"/>
      <c r="AG57" s="71" t="n"/>
      <c r="AH57" s="273" t="n"/>
      <c r="AI57" s="95" t="n"/>
      <c r="AJ57" s="71" t="n">
        <v>0.5</v>
      </c>
      <c r="AK57" s="71" t="n"/>
      <c r="AL57" s="71" t="n"/>
      <c r="AM57" s="71" t="n"/>
      <c r="AN57" s="273" t="n"/>
      <c r="AO57" s="69" t="n"/>
      <c r="AP57" s="71" t="n"/>
      <c r="AQ57" s="71" t="n"/>
      <c r="AR57" s="71" t="n"/>
      <c r="AS57" s="71" t="n"/>
      <c r="AT57" s="273" t="n"/>
      <c r="AU57" s="69" t="n">
        <v>1</v>
      </c>
      <c r="AV57" s="71" t="n"/>
      <c r="AW57" s="71" t="n"/>
      <c r="AX57" s="71" t="n"/>
      <c r="AY57" s="71" t="n"/>
      <c r="AZ57" s="273" t="n"/>
      <c r="BA57" s="69" t="n"/>
      <c r="BB57" s="71" t="n"/>
      <c r="BC57" s="71" t="n"/>
      <c r="BD57" s="71" t="n"/>
      <c r="BE57" s="71" t="n"/>
      <c r="BF57" s="273" t="n"/>
      <c r="BG57" s="69" t="n"/>
      <c r="BH57" s="71" t="n"/>
      <c r="BI57" s="71" t="n"/>
      <c r="BJ57" s="71" t="n"/>
      <c r="BK57" s="71" t="n"/>
      <c r="BL57" s="273" t="n"/>
      <c r="BM57" s="69" t="n">
        <v>4.5</v>
      </c>
      <c r="BN57" s="71" t="n">
        <v>1</v>
      </c>
      <c r="BO57" s="71" t="n"/>
      <c r="BP57" s="71" t="n"/>
      <c r="BQ57" s="71" t="n"/>
      <c r="BR57" s="273" t="n"/>
      <c r="BS57" s="69" t="n">
        <v>2</v>
      </c>
      <c r="BT57" s="71" t="n"/>
      <c r="BU57" s="71" t="n"/>
      <c r="BV57" s="71" t="n"/>
      <c r="BW57" s="71" t="n"/>
      <c r="BX57" s="273" t="n"/>
      <c r="BZ57" s="274">
        <f>+E58+K58+Q58+W58+AC58+AI58+AO58+AU58+BA58+BG58+BM58+BS58</f>
        <v/>
      </c>
      <c r="CA57" s="275">
        <f>+F58+L58+R58+X58+AD58+AJ58+AP58+AV58+BB58+BH58+BN58+BT58</f>
        <v/>
      </c>
      <c r="CB57" s="275">
        <f>+G58+M58+S58+Y58+AE58+AK58+AQ58+AW58+BC58+BI58+BO58+BU58</f>
        <v/>
      </c>
      <c r="CC57" s="275">
        <f>+H58+N58+T58+Z58+AF58+AL58+AR58+AX58+BD58+BJ58+BP58+BV58</f>
        <v/>
      </c>
      <c r="CD57" s="280">
        <f>+I58+O58+U58+AA58+AG58+AM58+AS58+AY58+BE58+BK58+BQ58+BW58</f>
        <v/>
      </c>
      <c r="CE57" s="148">
        <f>+J58+P58+V58+AB58+AH58+AN58+AT58+AZ58+BF58+BL58+BR58+BX58</f>
        <v/>
      </c>
      <c r="CF57" s="149" t="n"/>
      <c r="CG57" s="149" t="n"/>
      <c r="CH57" s="149" t="n"/>
    </row>
    <row r="58">
      <c r="A58" s="71" t="n">
        <v>55</v>
      </c>
      <c r="B58" s="137" t="inlineStr">
        <is>
          <t>น.ส.</t>
        </is>
      </c>
      <c r="C58" s="64" t="inlineStr">
        <is>
          <t>มณเฑียร</t>
        </is>
      </c>
      <c r="D58" s="14" t="inlineStr">
        <is>
          <t>เข็มเงิน</t>
        </is>
      </c>
      <c r="E58" s="69" t="n"/>
      <c r="F58" s="71" t="n">
        <v>1</v>
      </c>
      <c r="G58" s="71" t="n"/>
      <c r="H58" s="71" t="n"/>
      <c r="I58" s="71" t="n"/>
      <c r="J58" s="273" t="n"/>
      <c r="K58" s="95" t="n"/>
      <c r="L58" s="71" t="n"/>
      <c r="M58" s="71" t="n"/>
      <c r="N58" s="71" t="n"/>
      <c r="O58" s="84" t="n"/>
      <c r="P58" s="278" t="n"/>
      <c r="Q58" s="96" t="n"/>
      <c r="R58" s="84" t="n"/>
      <c r="S58" s="84" t="n"/>
      <c r="T58" s="84" t="n"/>
      <c r="U58" s="84" t="n"/>
      <c r="V58" s="278" t="n"/>
      <c r="W58" s="95" t="n"/>
      <c r="X58" s="71" t="n"/>
      <c r="Y58" s="71" t="n"/>
      <c r="Z58" s="71" t="n"/>
      <c r="AA58" s="71" t="n">
        <v>1</v>
      </c>
      <c r="AB58" s="273" t="n"/>
      <c r="AC58" s="95" t="n"/>
      <c r="AD58" s="71" t="n"/>
      <c r="AE58" s="71" t="n"/>
      <c r="AF58" s="71" t="n"/>
      <c r="AG58" s="71" t="n"/>
      <c r="AH58" s="273" t="n"/>
      <c r="AI58" s="95" t="n"/>
      <c r="AJ58" s="71" t="n"/>
      <c r="AK58" s="71" t="n"/>
      <c r="AL58" s="71" t="n"/>
      <c r="AM58" s="71" t="n"/>
      <c r="AN58" s="273" t="n"/>
      <c r="AO58" s="69" t="n"/>
      <c r="AP58" s="71" t="n"/>
      <c r="AQ58" s="71" t="n"/>
      <c r="AR58" s="71" t="n"/>
      <c r="AS58" s="71" t="n"/>
      <c r="AT58" s="273" t="n"/>
      <c r="AU58" s="69" t="n"/>
      <c r="AV58" s="71" t="n"/>
      <c r="AW58" s="71" t="n"/>
      <c r="AX58" s="71" t="n"/>
      <c r="AY58" s="71" t="n"/>
      <c r="AZ58" s="273" t="n"/>
      <c r="BA58" s="69" t="n"/>
      <c r="BB58" s="71" t="n"/>
      <c r="BC58" s="71" t="n"/>
      <c r="BD58" s="71" t="n"/>
      <c r="BE58" s="71" t="n"/>
      <c r="BF58" s="273" t="n"/>
      <c r="BG58" s="69" t="n"/>
      <c r="BH58" s="71" t="n"/>
      <c r="BI58" s="71" t="n"/>
      <c r="BJ58" s="71" t="n"/>
      <c r="BK58" s="71" t="n"/>
      <c r="BL58" s="273" t="n"/>
      <c r="BM58" s="69" t="n"/>
      <c r="BN58" s="71" t="n"/>
      <c r="BO58" s="71" t="n"/>
      <c r="BP58" s="71" t="n"/>
      <c r="BQ58" s="71" t="n"/>
      <c r="BR58" s="273" t="n"/>
      <c r="BS58" s="69" t="n"/>
      <c r="BT58" s="71" t="n"/>
      <c r="BU58" s="71" t="n"/>
      <c r="BV58" s="71" t="n"/>
      <c r="BW58" s="71" t="n"/>
      <c r="BX58" s="273" t="n"/>
      <c r="BZ58" s="274">
        <f>+E59+K59+Q59+W59+AC59+AI59+AO59+AU59+BA59+BG59+BM59+BS59</f>
        <v/>
      </c>
      <c r="CA58" s="275">
        <f>+F59+L59+R59+X59+AD59+AJ59+AP59+AV59+BB59+BH59+BN59+BT59</f>
        <v/>
      </c>
      <c r="CB58" s="275">
        <f>+G59+M59+S59+Y59+AE59+AK59+AQ59+AW59+BC59+BI59+BO59+BU59</f>
        <v/>
      </c>
      <c r="CC58" s="275">
        <f>+H59+N59+T59+Z59+AF59+AL59+AR59+AX59+BD59+BJ59+BP59+BV59</f>
        <v/>
      </c>
      <c r="CD58" s="280">
        <f>+I59+O59+U59+AA59+AG59+AM59+AS59+AY59+BE59+BK59+BQ59+BW59</f>
        <v/>
      </c>
      <c r="CE58" s="148">
        <f>+J59+P59+V59+AB59+AH59+AN59+AT59+AZ59+BF59+BL59+BR59+BX59</f>
        <v/>
      </c>
      <c r="CF58" s="149" t="n"/>
      <c r="CG58" s="149" t="n"/>
      <c r="CH58" s="149" t="n"/>
    </row>
    <row r="59">
      <c r="A59" s="71" t="n">
        <v>56</v>
      </c>
      <c r="B59" s="137" t="inlineStr">
        <is>
          <t>นาง</t>
        </is>
      </c>
      <c r="C59" s="64" t="inlineStr">
        <is>
          <t>รุ่งนภา</t>
        </is>
      </c>
      <c r="D59" s="14" t="inlineStr">
        <is>
          <t>เปี่ยมศิลป์</t>
        </is>
      </c>
      <c r="E59" s="69" t="n">
        <v>2</v>
      </c>
      <c r="F59" s="71" t="n"/>
      <c r="G59" s="71" t="n"/>
      <c r="H59" s="71" t="n"/>
      <c r="I59" s="71" t="n"/>
      <c r="J59" s="281" t="n"/>
      <c r="K59" s="69" t="n">
        <v>1</v>
      </c>
      <c r="L59" s="71" t="n">
        <v>2</v>
      </c>
      <c r="M59" s="71" t="n"/>
      <c r="N59" s="71" t="n"/>
      <c r="O59" s="84" t="n"/>
      <c r="P59" s="278" t="n"/>
      <c r="Q59" s="82" t="n">
        <v>1</v>
      </c>
      <c r="R59" s="84" t="n">
        <v>2</v>
      </c>
      <c r="S59" s="84" t="n"/>
      <c r="T59" s="84" t="n"/>
      <c r="U59" s="84" t="n"/>
      <c r="V59" s="278" t="n"/>
      <c r="W59" s="69" t="n">
        <v>1</v>
      </c>
      <c r="X59" s="71" t="n"/>
      <c r="Y59" s="71" t="n"/>
      <c r="Z59" s="71" t="n"/>
      <c r="AA59" s="71" t="n">
        <v>2</v>
      </c>
      <c r="AB59" s="273" t="n"/>
      <c r="AC59" s="95" t="n"/>
      <c r="AD59" s="71" t="n">
        <v>1</v>
      </c>
      <c r="AE59" s="71" t="n"/>
      <c r="AF59" s="71" t="n"/>
      <c r="AG59" s="71" t="n"/>
      <c r="AH59" s="273" t="n"/>
      <c r="AI59" s="95" t="n">
        <v>4</v>
      </c>
      <c r="AJ59" s="71" t="n">
        <v>1</v>
      </c>
      <c r="AK59" s="71" t="n"/>
      <c r="AL59" s="71" t="n"/>
      <c r="AM59" s="71" t="n"/>
      <c r="AN59" s="273" t="n"/>
      <c r="AO59" s="69" t="n"/>
      <c r="AP59" s="71" t="n"/>
      <c r="AQ59" s="71" t="n"/>
      <c r="AR59" s="71" t="n"/>
      <c r="AS59" s="71" t="n"/>
      <c r="AT59" s="273" t="n"/>
      <c r="AU59" s="69" t="n">
        <v>1</v>
      </c>
      <c r="AV59" s="71" t="n"/>
      <c r="AW59" s="71" t="n"/>
      <c r="AX59" s="71" t="n"/>
      <c r="AY59" s="71" t="n"/>
      <c r="AZ59" s="273" t="n"/>
      <c r="BA59" s="69" t="n">
        <v>1</v>
      </c>
      <c r="BB59" s="71" t="n"/>
      <c r="BC59" s="71" t="n"/>
      <c r="BD59" s="71" t="n"/>
      <c r="BE59" s="71" t="n"/>
      <c r="BF59" s="273" t="n"/>
      <c r="BG59" s="69" t="n">
        <v>1.5</v>
      </c>
      <c r="BH59" s="71" t="n"/>
      <c r="BI59" s="71" t="n"/>
      <c r="BJ59" s="71" t="n"/>
      <c r="BK59" s="71" t="n"/>
      <c r="BL59" s="273" t="n"/>
      <c r="BM59" s="69" t="n">
        <v>1</v>
      </c>
      <c r="BN59" s="71" t="n"/>
      <c r="BO59" s="71" t="n"/>
      <c r="BP59" s="71" t="n">
        <v>0.5</v>
      </c>
      <c r="BQ59" s="71" t="n"/>
      <c r="BR59" s="273" t="n"/>
      <c r="BS59" s="69" t="n"/>
      <c r="BT59" s="71" t="n"/>
      <c r="BU59" s="71" t="n"/>
      <c r="BV59" s="71" t="n"/>
      <c r="BW59" s="71" t="n"/>
      <c r="BX59" s="273" t="n"/>
      <c r="BZ59" s="274">
        <f>+E60+K60+Q60+W60+AC60+AI60+AO60+AU60+BA60+BG60+BM60+BS60</f>
        <v/>
      </c>
      <c r="CA59" s="275">
        <f>+F60+L60+R60+X60+AD60+AJ60+AP60+AV60+BB60+BH60+BN60+BT60</f>
        <v/>
      </c>
      <c r="CB59" s="275">
        <f>+G60+M60+S60+Y60+AE60+AK60+AQ60+AW60+BC60+BI60+BO60+BU60</f>
        <v/>
      </c>
      <c r="CC59" s="275">
        <f>+H60+N60+T60+Z60+AF60+AL60+AR60+AX60+BD60+BJ60+BP60+BV60</f>
        <v/>
      </c>
      <c r="CD59" s="280">
        <f>+I60+O60+U60+AA60+AG60+AM60+AS60+AY60+BE60+BK60+BQ60+BW60</f>
        <v/>
      </c>
      <c r="CE59" s="148">
        <f>+J60+P60+V60+AB60+AH60+AN60+AT60+AZ60+BF60+BL60+BR60+BX60</f>
        <v/>
      </c>
      <c r="CF59" s="149" t="n"/>
      <c r="CG59" s="149" t="n"/>
      <c r="CH59" s="149" t="n"/>
    </row>
    <row r="60">
      <c r="A60" s="71" t="n">
        <v>57</v>
      </c>
      <c r="B60" s="137" t="inlineStr">
        <is>
          <t>นาง</t>
        </is>
      </c>
      <c r="C60" s="64" t="inlineStr">
        <is>
          <t>ลัดดา</t>
        </is>
      </c>
      <c r="D60" s="14" t="inlineStr">
        <is>
          <t>นาคสังข์</t>
        </is>
      </c>
      <c r="E60" s="69" t="n"/>
      <c r="F60" s="71" t="n"/>
      <c r="G60" s="71" t="n"/>
      <c r="H60" s="71" t="n"/>
      <c r="I60" s="71" t="n"/>
      <c r="J60" s="281" t="n"/>
      <c r="K60" s="69" t="n"/>
      <c r="L60" s="71" t="n"/>
      <c r="M60" s="71" t="n"/>
      <c r="N60" s="71" t="n"/>
      <c r="O60" s="71" t="n"/>
      <c r="P60" s="273" t="n"/>
      <c r="Q60" s="69" t="n"/>
      <c r="R60" s="71" t="n"/>
      <c r="S60" s="71" t="n"/>
      <c r="T60" s="71" t="n"/>
      <c r="U60" s="71" t="n">
        <v>1</v>
      </c>
      <c r="V60" s="278" t="n"/>
      <c r="W60" s="69" t="n"/>
      <c r="X60" s="71" t="n">
        <v>2.5</v>
      </c>
      <c r="Y60" s="71" t="n"/>
      <c r="Z60" s="71" t="n"/>
      <c r="AA60" s="71" t="n"/>
      <c r="AB60" s="273" t="n"/>
      <c r="AC60" s="95" t="n"/>
      <c r="AD60" s="71" t="n"/>
      <c r="AE60" s="71" t="n"/>
      <c r="AF60" s="71" t="n"/>
      <c r="AG60" s="71" t="n"/>
      <c r="AH60" s="273" t="n"/>
      <c r="AI60" s="95" t="n"/>
      <c r="AJ60" s="71" t="n">
        <v>2.5</v>
      </c>
      <c r="AK60" s="71" t="n"/>
      <c r="AL60" s="71" t="n"/>
      <c r="AM60" s="71" t="n"/>
      <c r="AN60" s="273" t="n"/>
      <c r="AO60" s="69" t="n"/>
      <c r="AP60" s="71" t="n"/>
      <c r="AQ60" s="71" t="n"/>
      <c r="AR60" s="71" t="n"/>
      <c r="AS60" s="71" t="n"/>
      <c r="AT60" s="273" t="n"/>
      <c r="AU60" s="69" t="n"/>
      <c r="AV60" s="71" t="n"/>
      <c r="AW60" s="71" t="n"/>
      <c r="AX60" s="71" t="n"/>
      <c r="AY60" s="71" t="n"/>
      <c r="AZ60" s="273" t="n"/>
      <c r="BA60" s="69" t="n"/>
      <c r="BB60" s="71" t="n"/>
      <c r="BC60" s="71" t="n"/>
      <c r="BD60" s="71" t="n"/>
      <c r="BE60" s="71" t="n"/>
      <c r="BF60" s="273" t="n"/>
      <c r="BG60" s="69" t="n"/>
      <c r="BH60" s="71" t="n"/>
      <c r="BI60" s="71" t="n"/>
      <c r="BJ60" s="71" t="n"/>
      <c r="BK60" s="71" t="n"/>
      <c r="BL60" s="273" t="n"/>
      <c r="BM60" s="69" t="n"/>
      <c r="BN60" s="71" t="n"/>
      <c r="BO60" s="71" t="n"/>
      <c r="BP60" s="71" t="n"/>
      <c r="BQ60" s="71" t="n"/>
      <c r="BR60" s="273" t="n"/>
      <c r="BS60" s="69" t="n"/>
      <c r="BT60" s="71" t="n"/>
      <c r="BU60" s="71" t="n"/>
      <c r="BV60" s="71" t="n"/>
      <c r="BW60" s="71" t="n"/>
      <c r="BX60" s="273" t="n"/>
      <c r="BZ60" s="274">
        <f>+E61+K61+Q61+W61+AC61+AI61+AO61+AU61+BA61+BG61+BM61+BS61</f>
        <v/>
      </c>
      <c r="CA60" s="275">
        <f>+F61+L61+R61+X61+AD61+AJ61+AP61+AV61+BB61+BH61+BN61+BT61</f>
        <v/>
      </c>
      <c r="CB60" s="275">
        <f>+G61+M61+S61+Y61+AE61+AK61+AQ61+AW61+BC61+BI61+BO61+BU61</f>
        <v/>
      </c>
      <c r="CC60" s="275">
        <f>+H61+N61+T61+Z61+AF61+AL61+AR61+AX61+BD61+BJ61+BP61+BV61</f>
        <v/>
      </c>
      <c r="CD60" s="280">
        <f>+I61+O61+U61+AA61+AG61+AM61+AS61+AY61+BE61+BK61+BQ61+BW61</f>
        <v/>
      </c>
      <c r="CE60" s="148">
        <f>+J61+P61+V61+AB61+AH61+AN61+AT61+AZ61+BF61+BL61+BR61+BX61</f>
        <v/>
      </c>
      <c r="CF60" s="149" t="n"/>
      <c r="CG60" s="149" t="n"/>
      <c r="CH60" s="149" t="n"/>
    </row>
    <row r="61">
      <c r="A61" s="71" t="n">
        <v>58</v>
      </c>
      <c r="B61" s="137" t="inlineStr">
        <is>
          <t>นาง</t>
        </is>
      </c>
      <c r="C61" s="64" t="inlineStr">
        <is>
          <t>ลาคร</t>
        </is>
      </c>
      <c r="D61" s="14" t="inlineStr">
        <is>
          <t>ทองดี</t>
        </is>
      </c>
      <c r="E61" s="69" t="n"/>
      <c r="F61" s="71" t="n"/>
      <c r="G61" s="71" t="n"/>
      <c r="H61" s="71" t="n"/>
      <c r="I61" s="71" t="n"/>
      <c r="J61" s="281" t="n"/>
      <c r="K61" s="69" t="n"/>
      <c r="L61" s="71" t="n"/>
      <c r="M61" s="71" t="n"/>
      <c r="N61" s="71" t="n"/>
      <c r="O61" s="71" t="n"/>
      <c r="P61" s="273" t="n"/>
      <c r="Q61" s="69" t="n"/>
      <c r="R61" s="71" t="n">
        <v>1</v>
      </c>
      <c r="S61" s="71" t="n"/>
      <c r="T61" s="71" t="n"/>
      <c r="U61" s="71" t="n">
        <v>1</v>
      </c>
      <c r="V61" s="278" t="n"/>
      <c r="W61" s="95" t="n"/>
      <c r="X61" s="71" t="n"/>
      <c r="Y61" s="71" t="n"/>
      <c r="Z61" s="71" t="n"/>
      <c r="AA61" s="71" t="n">
        <v>3</v>
      </c>
      <c r="AB61" s="273" t="n"/>
      <c r="AC61" s="95" t="n"/>
      <c r="AD61" s="71" t="n">
        <v>1</v>
      </c>
      <c r="AE61" s="71" t="n"/>
      <c r="AF61" s="71" t="n"/>
      <c r="AG61" s="71" t="n"/>
      <c r="AH61" s="273" t="n"/>
      <c r="AI61" s="95" t="n">
        <v>1</v>
      </c>
      <c r="AJ61" s="71" t="n"/>
      <c r="AK61" s="71" t="n"/>
      <c r="AL61" s="71" t="n"/>
      <c r="AM61" s="71" t="n">
        <v>1</v>
      </c>
      <c r="AN61" s="273" t="n"/>
      <c r="AO61" s="69" t="n"/>
      <c r="AP61" s="71" t="n"/>
      <c r="AQ61" s="71" t="n"/>
      <c r="AR61" s="71" t="n"/>
      <c r="AS61" s="71" t="n"/>
      <c r="AT61" s="273" t="n"/>
      <c r="AU61" s="69" t="n"/>
      <c r="AV61" s="71" t="n"/>
      <c r="AW61" s="71" t="n"/>
      <c r="AX61" s="71" t="n"/>
      <c r="AY61" s="71" t="n"/>
      <c r="AZ61" s="273" t="n"/>
      <c r="BA61" s="69" t="n">
        <v>1</v>
      </c>
      <c r="BB61" s="71" t="n"/>
      <c r="BC61" s="71" t="n"/>
      <c r="BD61" s="71" t="n"/>
      <c r="BE61" s="71" t="n"/>
      <c r="BF61" s="273" t="n"/>
      <c r="BG61" s="69" t="n"/>
      <c r="BH61" s="71" t="n"/>
      <c r="BI61" s="71" t="n"/>
      <c r="BJ61" s="71" t="n"/>
      <c r="BK61" s="71" t="n"/>
      <c r="BL61" s="273" t="n"/>
      <c r="BM61" s="69" t="n"/>
      <c r="BN61" s="71" t="n"/>
      <c r="BO61" s="71" t="n"/>
      <c r="BP61" s="71" t="n"/>
      <c r="BQ61" s="71" t="n"/>
      <c r="BR61" s="273" t="n"/>
      <c r="BS61" s="69" t="n"/>
      <c r="BT61" s="71" t="n"/>
      <c r="BU61" s="71" t="n"/>
      <c r="BV61" s="71" t="n"/>
      <c r="BW61" s="71" t="n"/>
      <c r="BX61" s="273" t="n"/>
      <c r="BZ61" s="274">
        <f>+E62+K62+Q62+W62+AC62+AI62+AO62+AU62+BA62+BG62+BM62+BS62</f>
        <v/>
      </c>
      <c r="CA61" s="275">
        <f>+F62+L62+R62+X62+AD62+AJ62+AP62+AV62+BB62+BH62+BN62+BT62</f>
        <v/>
      </c>
      <c r="CB61" s="275">
        <f>+G62+M62+S62+Y62+AE62+AK62+AQ62+AW62+BC62+BI62+BO62+BU62</f>
        <v/>
      </c>
      <c r="CC61" s="275">
        <f>+H62+N62+T62+Z62+AF62+AL62+AR62+AX62+BD62+BJ62+BP62+BV62</f>
        <v/>
      </c>
      <c r="CD61" s="280">
        <f>+I62+O62+U62+AA62+AG62+AM62+AS62+AY62+BE62+BK62+BQ62+BW62</f>
        <v/>
      </c>
      <c r="CE61" s="148">
        <f>+J62+P62+V62+AB62+AH62+AN62+AT62+AZ62+BF62+BL62+BR62+BX62</f>
        <v/>
      </c>
      <c r="CF61" s="149" t="n"/>
      <c r="CG61" s="149" t="n"/>
      <c r="CH61" s="149" t="n"/>
    </row>
    <row r="62">
      <c r="A62" s="71" t="n">
        <v>59</v>
      </c>
      <c r="B62" s="137" t="inlineStr">
        <is>
          <t>นาย</t>
        </is>
      </c>
      <c r="C62" s="64" t="inlineStr">
        <is>
          <t>วสันต์</t>
        </is>
      </c>
      <c r="D62" s="14" t="inlineStr">
        <is>
          <t>ทองดี</t>
        </is>
      </c>
      <c r="E62" s="69" t="n"/>
      <c r="F62" s="71" t="n"/>
      <c r="G62" s="71" t="n"/>
      <c r="H62" s="71" t="n"/>
      <c r="I62" s="71" t="n"/>
      <c r="J62" s="279" t="n"/>
      <c r="K62" s="82" t="n"/>
      <c r="L62" s="84" t="n"/>
      <c r="M62" s="84" t="n"/>
      <c r="N62" s="84" t="n"/>
      <c r="O62" s="84" t="n"/>
      <c r="P62" s="278" t="n"/>
      <c r="Q62" s="82" t="n"/>
      <c r="R62" s="84" t="n">
        <v>1</v>
      </c>
      <c r="S62" s="84" t="n"/>
      <c r="T62" s="84" t="n"/>
      <c r="U62" s="84" t="n">
        <v>1</v>
      </c>
      <c r="V62" s="278" t="n"/>
      <c r="W62" s="153" t="n"/>
      <c r="X62" s="71" t="n"/>
      <c r="Y62" s="71" t="n"/>
      <c r="Z62" s="71" t="n"/>
      <c r="AA62" s="71" t="n">
        <v>3</v>
      </c>
      <c r="AB62" s="281" t="n"/>
      <c r="AC62" s="95" t="n"/>
      <c r="AD62" s="71" t="n">
        <v>1</v>
      </c>
      <c r="AE62" s="71" t="n"/>
      <c r="AF62" s="71" t="n"/>
      <c r="AG62" s="71" t="n"/>
      <c r="AH62" s="273" t="n"/>
      <c r="AI62" s="95" t="n"/>
      <c r="AJ62" s="71" t="n"/>
      <c r="AK62" s="71" t="n"/>
      <c r="AL62" s="71" t="n"/>
      <c r="AM62" s="71" t="n">
        <v>1</v>
      </c>
      <c r="AN62" s="273" t="n"/>
      <c r="AO62" s="69" t="n"/>
      <c r="AP62" s="71" t="n"/>
      <c r="AQ62" s="71" t="n"/>
      <c r="AR62" s="71" t="n"/>
      <c r="AS62" s="71" t="n"/>
      <c r="AT62" s="273" t="n"/>
      <c r="AU62" s="69" t="n"/>
      <c r="AV62" s="71" t="n">
        <v>2.5</v>
      </c>
      <c r="AW62" s="71" t="n"/>
      <c r="AX62" s="71" t="n"/>
      <c r="AY62" s="71" t="n"/>
      <c r="AZ62" s="273" t="n"/>
      <c r="BA62" s="69" t="n">
        <v>1</v>
      </c>
      <c r="BB62" s="71" t="n"/>
      <c r="BC62" s="71" t="n"/>
      <c r="BD62" s="71" t="n"/>
      <c r="BE62" s="71" t="n"/>
      <c r="BF62" s="273" t="n"/>
      <c r="BG62" s="69" t="n">
        <v>1</v>
      </c>
      <c r="BH62" s="71" t="n"/>
      <c r="BI62" s="71" t="n"/>
      <c r="BJ62" s="71" t="n"/>
      <c r="BK62" s="71" t="n"/>
      <c r="BL62" s="273" t="n"/>
      <c r="BM62" s="69" t="n"/>
      <c r="BN62" s="71" t="n"/>
      <c r="BO62" s="71" t="n"/>
      <c r="BP62" s="71" t="n"/>
      <c r="BQ62" s="71" t="n"/>
      <c r="BR62" s="273" t="n"/>
      <c r="BS62" s="69" t="n"/>
      <c r="BT62" s="71" t="n"/>
      <c r="BU62" s="71" t="n"/>
      <c r="BV62" s="71" t="n"/>
      <c r="BW62" s="71" t="n"/>
      <c r="BX62" s="273" t="n"/>
      <c r="BZ62" s="274">
        <f>+E63+K63+Q63+W63+AC63+AI63+AO63+AU63+BA63+BG63+BM63+BS63</f>
        <v/>
      </c>
      <c r="CA62" s="275">
        <f>+F63+L63+R63+X63+AD63+AJ63+AP63+AV63+BB63+BH63+BN63+BT63</f>
        <v/>
      </c>
      <c r="CB62" s="275">
        <f>+G63+M63+S63+Y63+AE63+AK63+AQ63+AW63+BC63+BI63+BO63+BU63</f>
        <v/>
      </c>
      <c r="CC62" s="275">
        <f>+H63+N63+T63+Z63+AF63+AL63+AR63+AX63+BD63+BJ63+BP63+BV63</f>
        <v/>
      </c>
      <c r="CD62" s="280">
        <f>+I63+O63+U63+AA63+AG63+AM63+AS63+AY63+BE63+BK63+BQ63+BW63</f>
        <v/>
      </c>
      <c r="CE62" s="148">
        <f>+J63+P63+V63+AB63+AH63+AN63+AT63+AZ63+BF63+BL63+BR63+BX63</f>
        <v/>
      </c>
      <c r="CF62" s="149" t="n"/>
      <c r="CG62" s="149" t="n"/>
      <c r="CH62" s="149" t="n"/>
    </row>
    <row r="63">
      <c r="A63" s="71" t="n">
        <v>60</v>
      </c>
      <c r="B63" s="137" t="inlineStr">
        <is>
          <t>นาง</t>
        </is>
      </c>
      <c r="C63" s="64" t="inlineStr">
        <is>
          <t>แวว</t>
        </is>
      </c>
      <c r="D63" s="14" t="inlineStr">
        <is>
          <t>มิ่งสกุล</t>
        </is>
      </c>
      <c r="E63" s="69" t="n"/>
      <c r="F63" s="71" t="n"/>
      <c r="G63" s="71" t="n"/>
      <c r="H63" s="71" t="n"/>
      <c r="I63" s="71" t="n"/>
      <c r="J63" s="278" t="n"/>
      <c r="K63" s="82" t="n"/>
      <c r="L63" s="84" t="n"/>
      <c r="M63" s="84" t="n"/>
      <c r="N63" s="84" t="n"/>
      <c r="O63" s="84" t="n"/>
      <c r="P63" s="278" t="n"/>
      <c r="Q63" s="82" t="n">
        <v>0.5</v>
      </c>
      <c r="R63" s="84" t="n"/>
      <c r="S63" s="84" t="n"/>
      <c r="T63" s="84" t="n"/>
      <c r="U63" s="84" t="n">
        <v>1</v>
      </c>
      <c r="V63" s="278" t="n"/>
      <c r="W63" s="95" t="n"/>
      <c r="X63" s="71" t="n">
        <v>1</v>
      </c>
      <c r="Y63" s="71" t="n"/>
      <c r="Z63" s="71" t="n"/>
      <c r="AA63" s="71" t="n">
        <v>1</v>
      </c>
      <c r="AB63" s="273" t="n">
        <v>0.0006944444444444445</v>
      </c>
      <c r="AC63" s="95" t="n">
        <v>1</v>
      </c>
      <c r="AD63" s="71" t="n"/>
      <c r="AE63" s="71" t="n"/>
      <c r="AF63" s="71" t="n"/>
      <c r="AG63" s="71" t="n">
        <v>1</v>
      </c>
      <c r="AH63" s="273" t="n"/>
      <c r="AI63" s="95" t="n">
        <v>1</v>
      </c>
      <c r="AJ63" s="71" t="n"/>
      <c r="AK63" s="71" t="n"/>
      <c r="AL63" s="71" t="n"/>
      <c r="AM63" s="71" t="n"/>
      <c r="AN63" s="273" t="n"/>
      <c r="AO63" s="69" t="n"/>
      <c r="AP63" s="71" t="n"/>
      <c r="AQ63" s="71" t="n"/>
      <c r="AR63" s="71" t="n"/>
      <c r="AS63" s="71" t="n"/>
      <c r="AT63" s="273" t="n"/>
      <c r="AU63" s="69" t="n"/>
      <c r="AV63" s="71" t="n"/>
      <c r="AW63" s="71" t="n"/>
      <c r="AX63" s="71" t="n"/>
      <c r="AY63" s="71" t="n"/>
      <c r="AZ63" s="273" t="n"/>
      <c r="BA63" s="69" t="n"/>
      <c r="BB63" s="71" t="n"/>
      <c r="BC63" s="71" t="n"/>
      <c r="BD63" s="71" t="n"/>
      <c r="BE63" s="71" t="n"/>
      <c r="BF63" s="273" t="n"/>
      <c r="BG63" s="69" t="n"/>
      <c r="BH63" s="71" t="n">
        <v>1</v>
      </c>
      <c r="BI63" s="71" t="n"/>
      <c r="BJ63" s="71" t="n"/>
      <c r="BK63" s="71" t="n"/>
      <c r="BL63" s="273" t="n"/>
      <c r="BM63" s="69" t="n">
        <v>0.5</v>
      </c>
      <c r="BN63" s="71" t="n"/>
      <c r="BO63" s="71" t="n"/>
      <c r="BP63" s="71" t="n"/>
      <c r="BQ63" s="71" t="n"/>
      <c r="BR63" s="273" t="n"/>
      <c r="BS63" s="69" t="n"/>
      <c r="BT63" s="71" t="n"/>
      <c r="BU63" s="71" t="n"/>
      <c r="BV63" s="71" t="n"/>
      <c r="BW63" s="71" t="n"/>
      <c r="BX63" s="273" t="n"/>
      <c r="BZ63" s="274">
        <f>+E64+K64+Q64+W64+AC64+AI64+AO64+AU64+BA64+BG64+BM64+BS64</f>
        <v/>
      </c>
      <c r="CA63" s="275">
        <f>+F64+L64+R64+X64+AD64+AJ64+AP64+AV64+BB64+BH64+BN64+BT64</f>
        <v/>
      </c>
      <c r="CB63" s="275">
        <f>+G64+M64+S64+Y64+AE64+AK64+AQ64+AW64+BC64+BI64+BO64+BU64</f>
        <v/>
      </c>
      <c r="CC63" s="275">
        <f>+H64+N64+T64+Z64+AF64+AL64+AR64+AX64+BD64+BJ64+BP64+BV64</f>
        <v/>
      </c>
      <c r="CD63" s="280">
        <f>+I64+O64+U64+AA64+AG64+AM64+AS64+AY64+BE64+BK64+BQ64+BW64</f>
        <v/>
      </c>
      <c r="CE63" s="148">
        <f>+J64+P64+V64+AB64+AH64+AN64+AT64+AZ64+BF64+BL64+BR64+BX64</f>
        <v/>
      </c>
      <c r="CF63" s="149" t="n"/>
      <c r="CG63" s="149" t="n"/>
      <c r="CH63" s="149" t="n"/>
    </row>
    <row r="64">
      <c r="A64" s="71" t="n">
        <v>61</v>
      </c>
      <c r="B64" s="137" t="inlineStr">
        <is>
          <t>นาย</t>
        </is>
      </c>
      <c r="C64" s="74" t="inlineStr">
        <is>
          <t>ศักดิ์</t>
        </is>
      </c>
      <c r="D64" s="107" t="inlineStr">
        <is>
          <t>นาคสังข์</t>
        </is>
      </c>
      <c r="E64" s="69" t="n"/>
      <c r="F64" s="71" t="n"/>
      <c r="G64" s="71" t="n"/>
      <c r="H64" s="71" t="n"/>
      <c r="I64" s="71" t="n">
        <v>2</v>
      </c>
      <c r="J64" s="279" t="n"/>
      <c r="K64" s="82" t="n">
        <v>1</v>
      </c>
      <c r="L64" s="84" t="n"/>
      <c r="M64" s="84" t="n"/>
      <c r="N64" s="84" t="n"/>
      <c r="O64" s="84" t="n">
        <v>1</v>
      </c>
      <c r="P64" s="278" t="n"/>
      <c r="Q64" s="82" t="n"/>
      <c r="R64" s="84" t="n">
        <v>1</v>
      </c>
      <c r="S64" s="84" t="n"/>
      <c r="T64" s="84" t="n"/>
      <c r="U64" s="84" t="n"/>
      <c r="V64" s="278" t="n"/>
      <c r="W64" s="95" t="n"/>
      <c r="X64" s="71" t="n"/>
      <c r="Y64" s="71" t="n"/>
      <c r="Z64" s="71" t="n"/>
      <c r="AA64" s="71" t="n"/>
      <c r="AB64" s="273" t="n"/>
      <c r="AC64" s="95" t="n"/>
      <c r="AD64" s="71" t="n">
        <v>2</v>
      </c>
      <c r="AE64" s="71" t="n"/>
      <c r="AF64" s="71" t="n"/>
      <c r="AG64" s="71" t="n"/>
      <c r="AH64" s="273" t="n"/>
      <c r="AI64" s="95" t="n"/>
      <c r="AJ64" s="71" t="n"/>
      <c r="AK64" s="71" t="n"/>
      <c r="AL64" s="71" t="n"/>
      <c r="AM64" s="71" t="n"/>
      <c r="AN64" s="273" t="n"/>
      <c r="AO64" s="69" t="n">
        <v>2</v>
      </c>
      <c r="AP64" s="71" t="n"/>
      <c r="AQ64" s="71" t="n"/>
      <c r="AR64" s="71" t="n"/>
      <c r="AS64" s="71" t="n"/>
      <c r="AT64" s="273" t="n"/>
      <c r="AU64" s="69" t="n"/>
      <c r="AV64" s="71" t="n"/>
      <c r="AW64" s="71" t="n"/>
      <c r="AX64" s="71" t="n"/>
      <c r="AY64" s="71" t="n"/>
      <c r="AZ64" s="273" t="n"/>
      <c r="BA64" s="69" t="n"/>
      <c r="BB64" s="71" t="n">
        <v>0.5</v>
      </c>
      <c r="BC64" s="71" t="n"/>
      <c r="BD64" s="71" t="n"/>
      <c r="BE64" s="71" t="n"/>
      <c r="BF64" s="273" t="n"/>
      <c r="BG64" s="69" t="n"/>
      <c r="BH64" s="71" t="n"/>
      <c r="BI64" s="71" t="n"/>
      <c r="BJ64" s="71" t="n"/>
      <c r="BK64" s="71" t="n"/>
      <c r="BL64" s="273" t="n"/>
      <c r="BM64" s="69" t="n">
        <v>0.5</v>
      </c>
      <c r="BN64" s="71" t="n"/>
      <c r="BO64" s="71" t="n"/>
      <c r="BP64" s="71" t="n"/>
      <c r="BQ64" s="71" t="n">
        <v>1</v>
      </c>
      <c r="BR64" s="273" t="n"/>
      <c r="BS64" s="69" t="n"/>
      <c r="BT64" s="71" t="n"/>
      <c r="BU64" s="71" t="n"/>
      <c r="BV64" s="71" t="n"/>
      <c r="BW64" s="71" t="n">
        <v>1</v>
      </c>
      <c r="BX64" s="273" t="n"/>
      <c r="BZ64" s="274">
        <f>+E65+K65+Q65+W65+AC65+AI65+AO65+AU65+BA65+BG65+BM65+BS65</f>
        <v/>
      </c>
      <c r="CA64" s="275">
        <f>+F65+L65+R65+X65+AD65+AJ65+AP65+AV65+BB65+BH65+BN65+BT65</f>
        <v/>
      </c>
      <c r="CB64" s="275">
        <f>+G65+M65+S65+Y65+AE65+AK65+AQ65+AW65+BC65+BI65+BO65+BU65</f>
        <v/>
      </c>
      <c r="CC64" s="275">
        <f>+H65+N65+T65+Z65+AF65+AL65+AR65+AX65+BD65+BJ65+BP65+BV65</f>
        <v/>
      </c>
      <c r="CD64" s="280">
        <f>+I65+O65+U65+AA65+AG65+AM65+AS65+AY65+BE65+BK65+BQ65+BW65</f>
        <v/>
      </c>
      <c r="CE64" s="148">
        <f>+J65+P65+V65+AB65+AH65+AN65+AT65+AZ65+BF65+BL65+BR65+BX65</f>
        <v/>
      </c>
      <c r="CF64" s="149" t="n"/>
      <c r="CG64" s="149" t="n"/>
      <c r="CH64" s="149" t="n"/>
    </row>
    <row r="65">
      <c r="A65" s="71" t="n">
        <v>62</v>
      </c>
      <c r="B65" s="137" t="inlineStr">
        <is>
          <t>นาง</t>
        </is>
      </c>
      <c r="C65" s="74" t="inlineStr">
        <is>
          <t>ศิรินาถ</t>
        </is>
      </c>
      <c r="D65" s="107" t="inlineStr">
        <is>
          <t>พลนิล</t>
        </is>
      </c>
      <c r="E65" s="69" t="n"/>
      <c r="F65" s="71" t="n"/>
      <c r="G65" s="71" t="n"/>
      <c r="H65" s="71" t="n"/>
      <c r="I65" s="71" t="n"/>
      <c r="J65" s="278" t="n"/>
      <c r="K65" s="82" t="n">
        <v>2</v>
      </c>
      <c r="L65" s="84" t="n">
        <v>0.5</v>
      </c>
      <c r="M65" s="84" t="n"/>
      <c r="N65" s="84" t="n"/>
      <c r="O65" s="84" t="n"/>
      <c r="P65" s="278" t="n"/>
      <c r="Q65" s="82" t="n"/>
      <c r="R65" s="84" t="n">
        <v>1.5</v>
      </c>
      <c r="S65" s="84" t="n"/>
      <c r="T65" s="84" t="n"/>
      <c r="U65" s="84" t="n">
        <v>1</v>
      </c>
      <c r="V65" s="278" t="n"/>
      <c r="W65" s="95" t="n"/>
      <c r="X65" s="71" t="n">
        <v>4</v>
      </c>
      <c r="Y65" s="71" t="n"/>
      <c r="Z65" s="71" t="n">
        <v>1</v>
      </c>
      <c r="AA65" s="71" t="n"/>
      <c r="AB65" s="273" t="n"/>
      <c r="AC65" s="95" t="n">
        <v>1</v>
      </c>
      <c r="AD65" s="71" t="n"/>
      <c r="AE65" s="71" t="n"/>
      <c r="AF65" s="71" t="n"/>
      <c r="AG65" s="71" t="n">
        <v>1</v>
      </c>
      <c r="AH65" s="273" t="n"/>
      <c r="AI65" s="95" t="n"/>
      <c r="AJ65" s="71" t="n"/>
      <c r="AK65" s="71" t="n"/>
      <c r="AL65" s="71" t="n"/>
      <c r="AM65" s="71" t="n"/>
      <c r="AN65" s="273" t="n"/>
      <c r="AO65" s="69" t="n"/>
      <c r="AP65" s="71" t="n"/>
      <c r="AQ65" s="71" t="n"/>
      <c r="AR65" s="71" t="n">
        <v>0.5</v>
      </c>
      <c r="AS65" s="71" t="n"/>
      <c r="AT65" s="273" t="n"/>
      <c r="AU65" s="69" t="n"/>
      <c r="AV65" s="71" t="n"/>
      <c r="AW65" s="71" t="n"/>
      <c r="AX65" s="71" t="n"/>
      <c r="AY65" s="71" t="n"/>
      <c r="AZ65" s="273" t="n"/>
      <c r="BA65" s="69" t="n">
        <v>1</v>
      </c>
      <c r="BB65" s="71" t="n"/>
      <c r="BC65" s="71" t="n">
        <v>0.5</v>
      </c>
      <c r="BD65" s="71" t="n"/>
      <c r="BE65" s="71" t="n"/>
      <c r="BF65" s="273" t="n"/>
      <c r="BG65" s="69" t="n"/>
      <c r="BH65" s="71" t="n"/>
      <c r="BI65" s="71" t="n">
        <v>3</v>
      </c>
      <c r="BJ65" s="71" t="n"/>
      <c r="BK65" s="71" t="n"/>
      <c r="BL65" s="273" t="n"/>
      <c r="BM65" s="69" t="n">
        <v>1</v>
      </c>
      <c r="BN65" s="71" t="n"/>
      <c r="BO65" s="71" t="n"/>
      <c r="BP65" s="71" t="n"/>
      <c r="BQ65" s="71" t="n"/>
      <c r="BR65" s="273" t="n"/>
      <c r="BS65" s="69" t="n">
        <v>1</v>
      </c>
      <c r="BT65" s="71" t="n"/>
      <c r="BU65" s="71" t="n"/>
      <c r="BV65" s="71" t="n"/>
      <c r="BW65" s="71" t="n"/>
      <c r="BX65" s="273" t="n"/>
      <c r="BZ65" s="274">
        <f>+E66+K66+Q66+W66+AC66+AI66+AO66+AU66+BA66+BG66+BM66+BS66</f>
        <v/>
      </c>
      <c r="CA65" s="275">
        <f>+F66+L66+R66+X66+AD66+AJ66+AP66+AV66+BB66+BH66+BN66+BT66</f>
        <v/>
      </c>
      <c r="CB65" s="275">
        <f>+G66+M66+S66+Y66+AE66+AK66+AQ66+AW66+BC66+BI66+BO66+BU66</f>
        <v/>
      </c>
      <c r="CC65" s="275">
        <f>+H66+N66+T66+Z66+AF66+AL66+AR66+AX66+BD66+BJ66+BP66+BV66</f>
        <v/>
      </c>
      <c r="CD65" s="280">
        <f>+I66+O66+U66+AA66+AG66+AM66+AS66+AY66+BE66+BK66+BQ66+BW66</f>
        <v/>
      </c>
      <c r="CE65" s="148">
        <f>+J66+P66+V66+AB66+AH66+AN66+AT66+AZ66+BF66+BL66+BR66+BX66</f>
        <v/>
      </c>
      <c r="CF65" s="149" t="n"/>
      <c r="CG65" s="149" t="n"/>
      <c r="CH65" s="149" t="n"/>
    </row>
    <row r="66">
      <c r="A66" s="71" t="n">
        <v>63</v>
      </c>
      <c r="B66" s="137" t="inlineStr">
        <is>
          <t>นาง</t>
        </is>
      </c>
      <c r="C66" s="74" t="inlineStr">
        <is>
          <t>ศิริพร</t>
        </is>
      </c>
      <c r="D66" s="107" t="inlineStr">
        <is>
          <t>โพธิ์สุวรรณ</t>
        </is>
      </c>
      <c r="E66" s="69" t="n">
        <v>1</v>
      </c>
      <c r="F66" s="71" t="n"/>
      <c r="G66" s="71" t="n"/>
      <c r="H66" s="71" t="n"/>
      <c r="I66" s="71" t="n"/>
      <c r="J66" s="278" t="n"/>
      <c r="K66" s="82" t="n"/>
      <c r="L66" s="84" t="n">
        <v>1</v>
      </c>
      <c r="M66" s="84" t="n"/>
      <c r="N66" s="84" t="n"/>
      <c r="O66" s="84" t="n"/>
      <c r="P66" s="278" t="n"/>
      <c r="Q66" s="82" t="n"/>
      <c r="R66" s="84" t="n"/>
      <c r="S66" s="84" t="n"/>
      <c r="T66" s="84" t="n"/>
      <c r="U66" s="84" t="n">
        <v>1</v>
      </c>
      <c r="V66" s="278" t="n"/>
      <c r="W66" s="95" t="n">
        <v>1</v>
      </c>
      <c r="X66" s="71" t="n">
        <v>0.5</v>
      </c>
      <c r="Y66" s="71" t="n"/>
      <c r="Z66" s="71" t="n"/>
      <c r="AA66" s="71" t="n"/>
      <c r="AB66" s="273" t="n"/>
      <c r="AC66" s="95" t="n"/>
      <c r="AD66" s="71" t="n"/>
      <c r="AE66" s="71" t="n"/>
      <c r="AF66" s="71" t="n"/>
      <c r="AG66" s="71" t="n"/>
      <c r="AH66" s="273" t="n"/>
      <c r="AI66" s="95" t="n">
        <v>5</v>
      </c>
      <c r="AJ66" s="71" t="n"/>
      <c r="AK66" s="71" t="n"/>
      <c r="AL66" s="71" t="n"/>
      <c r="AM66" s="71" t="n"/>
      <c r="AN66" s="273" t="n"/>
      <c r="AO66" s="69" t="n"/>
      <c r="AP66" s="71" t="n"/>
      <c r="AQ66" s="71" t="n"/>
      <c r="AR66" s="71" t="n"/>
      <c r="AS66" s="71" t="n">
        <v>1</v>
      </c>
      <c r="AT66" s="273" t="n"/>
      <c r="AU66" s="69" t="n">
        <v>1</v>
      </c>
      <c r="AV66" s="71" t="n"/>
      <c r="AW66" s="71" t="n"/>
      <c r="AX66" s="71" t="n"/>
      <c r="AY66" s="71" t="n"/>
      <c r="AZ66" s="273" t="n"/>
      <c r="BA66" s="69" t="n"/>
      <c r="BB66" s="71" t="n"/>
      <c r="BC66" s="71" t="n"/>
      <c r="BD66" s="71" t="n">
        <v>0.5</v>
      </c>
      <c r="BE66" s="71" t="n"/>
      <c r="BF66" s="273" t="n"/>
      <c r="BG66" s="69" t="n"/>
      <c r="BH66" s="71" t="n">
        <v>3</v>
      </c>
      <c r="BI66" s="71" t="n"/>
      <c r="BJ66" s="71" t="n"/>
      <c r="BK66" s="71" t="n">
        <v>2</v>
      </c>
      <c r="BL66" s="273" t="n"/>
      <c r="BM66" s="69" t="n"/>
      <c r="BN66" s="71" t="n"/>
      <c r="BO66" s="71" t="n"/>
      <c r="BP66" s="71" t="n"/>
      <c r="BQ66" s="71" t="n"/>
      <c r="BR66" s="273" t="n"/>
      <c r="BS66" s="69" t="n">
        <v>2</v>
      </c>
      <c r="BT66" s="71" t="n"/>
      <c r="BU66" s="71" t="n"/>
      <c r="BV66" s="71" t="n"/>
      <c r="BW66" s="71" t="n"/>
      <c r="BX66" s="273" t="n"/>
      <c r="BZ66" s="274">
        <f>+E67+K67+Q67+W67+AC67+AI67+AO67+AU67+BA67+BG67+BM67+BS67</f>
        <v/>
      </c>
      <c r="CA66" s="275">
        <f>+F67+L67+R67+X67+AD67+AJ67+AP67+AV67+BB67+BH67+BN67+BT67</f>
        <v/>
      </c>
      <c r="CB66" s="275">
        <f>+G67+M67+S67+Y67+AE67+AK67+AQ67+AW67+BC67+BI67+BO67+BU67</f>
        <v/>
      </c>
      <c r="CC66" s="275">
        <f>+H67+N67+T67+Z67+AF67+AL67+AR67+AX67+BD67+BJ67+BP67+BV67</f>
        <v/>
      </c>
      <c r="CD66" s="280">
        <f>+I67+O67+U67+AA67+AG67+AM67+AS67+AY67+BE67+BK67+BQ67+BW67</f>
        <v/>
      </c>
      <c r="CE66" s="148">
        <f>+J67+P67+V67+AB67+AH67+AN67+AT67+AZ67+BF67+BL67+BR67+BX67</f>
        <v/>
      </c>
      <c r="CF66" s="149" t="n"/>
      <c r="CG66" s="149" t="n"/>
      <c r="CH66" s="149" t="n"/>
    </row>
    <row r="67">
      <c r="A67" s="71" t="n">
        <v>64</v>
      </c>
      <c r="B67" s="137" t="inlineStr">
        <is>
          <t>นาง</t>
        </is>
      </c>
      <c r="C67" s="74" t="inlineStr">
        <is>
          <t>ศิริพร</t>
        </is>
      </c>
      <c r="D67" s="107" t="inlineStr">
        <is>
          <t>ทองชื่น</t>
        </is>
      </c>
      <c r="E67" s="69" t="n">
        <v>2</v>
      </c>
      <c r="F67" s="71" t="n"/>
      <c r="G67" s="71" t="n"/>
      <c r="H67" s="71" t="n"/>
      <c r="I67" s="71" t="n"/>
      <c r="J67" s="278" t="n"/>
      <c r="K67" s="82" t="n"/>
      <c r="L67" s="84" t="n">
        <v>0.5</v>
      </c>
      <c r="M67" s="84" t="n"/>
      <c r="N67" s="84" t="n"/>
      <c r="O67" s="84" t="n"/>
      <c r="P67" s="278" t="n"/>
      <c r="Q67" s="82" t="n">
        <v>1</v>
      </c>
      <c r="R67" s="84" t="n"/>
      <c r="S67" s="84" t="n"/>
      <c r="T67" s="84" t="n"/>
      <c r="U67" s="84" t="n">
        <v>1</v>
      </c>
      <c r="V67" s="278" t="n"/>
      <c r="W67" s="95" t="n"/>
      <c r="X67" s="71" t="n">
        <v>1</v>
      </c>
      <c r="Y67" s="71" t="n"/>
      <c r="Z67" s="71" t="n"/>
      <c r="AA67" s="71" t="n">
        <v>1</v>
      </c>
      <c r="AB67" s="273" t="n"/>
      <c r="AC67" s="95" t="n"/>
      <c r="AD67" s="71" t="n">
        <v>1</v>
      </c>
      <c r="AE67" s="71" t="n"/>
      <c r="AF67" s="71" t="n"/>
      <c r="AG67" s="71" t="n"/>
      <c r="AH67" s="273" t="n"/>
      <c r="AI67" s="95" t="n">
        <v>1</v>
      </c>
      <c r="AJ67" s="71" t="n"/>
      <c r="AK67" s="71" t="n"/>
      <c r="AL67" s="71" t="n"/>
      <c r="AM67" s="71" t="n"/>
      <c r="AN67" s="273" t="n"/>
      <c r="AO67" s="69" t="n"/>
      <c r="AP67" s="71" t="n">
        <v>1</v>
      </c>
      <c r="AQ67" s="71" t="n"/>
      <c r="AR67" s="71" t="n"/>
      <c r="AS67" s="71" t="n"/>
      <c r="AT67" s="273" t="n"/>
      <c r="AU67" s="69" t="n">
        <v>1</v>
      </c>
      <c r="AV67" s="71" t="n"/>
      <c r="AW67" s="71" t="n"/>
      <c r="AX67" s="71" t="n"/>
      <c r="AY67" s="71" t="n"/>
      <c r="AZ67" s="273" t="n"/>
      <c r="BA67" s="69" t="n">
        <v>2</v>
      </c>
      <c r="BB67" s="71" t="n">
        <v>1</v>
      </c>
      <c r="BC67" s="71" t="n"/>
      <c r="BD67" s="71" t="n"/>
      <c r="BE67" s="71" t="n"/>
      <c r="BF67" s="273" t="n"/>
      <c r="BG67" s="69" t="n"/>
      <c r="BH67" s="71" t="n"/>
      <c r="BI67" s="71" t="n"/>
      <c r="BJ67" s="71" t="n"/>
      <c r="BK67" s="71" t="n">
        <v>2</v>
      </c>
      <c r="BL67" s="273" t="n"/>
      <c r="BM67" s="69" t="n"/>
      <c r="BN67" s="71" t="n"/>
      <c r="BO67" s="71" t="n"/>
      <c r="BP67" s="71" t="n"/>
      <c r="BQ67" s="71" t="n"/>
      <c r="BR67" s="273" t="n"/>
      <c r="BS67" s="69" t="n"/>
      <c r="BT67" s="71" t="n"/>
      <c r="BU67" s="71" t="n"/>
      <c r="BV67" s="71" t="n"/>
      <c r="BW67" s="71" t="n">
        <v>2</v>
      </c>
      <c r="BX67" s="273" t="n"/>
      <c r="BZ67" s="274">
        <f>+E68+K68+Q68+W68+AC68+AI68+AO68+AU68+BA68+BG68+BM68+BS68</f>
        <v/>
      </c>
      <c r="CA67" s="275">
        <f>+F68+L68+R68+X68+AD68+AJ68+AP68+AV68+BB68+BH68+BN68+BT68</f>
        <v/>
      </c>
      <c r="CB67" s="275">
        <f>+G68+M68+S68+Y68+AE68+AK68+AQ68+AW68+BC68+BI68+BO68+BU68</f>
        <v/>
      </c>
      <c r="CC67" s="275">
        <f>+H68+N68+T68+Z68+AF68+AL68+AR68+AX68+BD68+BJ68+BP68+BV68</f>
        <v/>
      </c>
      <c r="CD67" s="280">
        <f>+I68+O68+U68+AA68+AG68+AM68+AS68+AY68+BE68+BK68+BQ68+BW68</f>
        <v/>
      </c>
      <c r="CE67" s="148">
        <f>+J68+P68+V68+AB68+AH68+AN68+AT68+AZ68+BF68+BL68+BR68+BX68</f>
        <v/>
      </c>
      <c r="CF67" s="149" t="n"/>
      <c r="CG67" s="149" t="n"/>
      <c r="CH67" s="149" t="n"/>
    </row>
    <row r="68">
      <c r="A68" s="71" t="n">
        <v>65</v>
      </c>
      <c r="B68" s="137" t="inlineStr">
        <is>
          <t>นาง</t>
        </is>
      </c>
      <c r="C68" s="74" t="inlineStr">
        <is>
          <t>ศิริพร</t>
        </is>
      </c>
      <c r="D68" s="107" t="inlineStr">
        <is>
          <t>อินทร์หอม</t>
        </is>
      </c>
      <c r="E68" s="69" t="n"/>
      <c r="F68" s="71" t="n"/>
      <c r="G68" s="71" t="n"/>
      <c r="H68" s="71" t="n"/>
      <c r="I68" s="71" t="n"/>
      <c r="J68" s="278" t="n"/>
      <c r="K68" s="82" t="n"/>
      <c r="L68" s="84" t="n"/>
      <c r="M68" s="84" t="n"/>
      <c r="N68" s="84" t="n"/>
      <c r="O68" s="84" t="n"/>
      <c r="P68" s="278" t="n"/>
      <c r="Q68" s="82" t="n"/>
      <c r="R68" s="84" t="n"/>
      <c r="S68" s="84" t="n"/>
      <c r="T68" s="84" t="n"/>
      <c r="U68" s="84" t="n"/>
      <c r="V68" s="278" t="n"/>
      <c r="W68" s="95" t="n"/>
      <c r="X68" s="71" t="n"/>
      <c r="Y68" s="71" t="n"/>
      <c r="Z68" s="71" t="n"/>
      <c r="AA68" s="71" t="n"/>
      <c r="AB68" s="273" t="n"/>
      <c r="AC68" s="95" t="n"/>
      <c r="AD68" s="71" t="n">
        <v>1</v>
      </c>
      <c r="AE68" s="71" t="n"/>
      <c r="AF68" s="71" t="n"/>
      <c r="AG68" s="71" t="n"/>
      <c r="AH68" s="273" t="n"/>
      <c r="AI68" s="95" t="n"/>
      <c r="AJ68" s="71" t="n">
        <v>1</v>
      </c>
      <c r="AK68" s="71" t="n"/>
      <c r="AL68" s="71" t="n"/>
      <c r="AM68" s="71" t="n"/>
      <c r="AN68" s="273" t="n"/>
      <c r="AO68" s="69" t="n">
        <v>1</v>
      </c>
      <c r="AP68" s="71" t="n"/>
      <c r="AQ68" s="71" t="n"/>
      <c r="AR68" s="71" t="n"/>
      <c r="AS68" s="71" t="n"/>
      <c r="AT68" s="273" t="n"/>
      <c r="AU68" s="69" t="n">
        <v>1</v>
      </c>
      <c r="AV68" s="71" t="n">
        <v>1</v>
      </c>
      <c r="AW68" s="71" t="n"/>
      <c r="AX68" s="71" t="n"/>
      <c r="AY68" s="71" t="n"/>
      <c r="AZ68" s="273" t="n"/>
      <c r="BA68" s="69" t="n"/>
      <c r="BB68" s="71" t="n">
        <v>1.5</v>
      </c>
      <c r="BC68" s="71" t="n"/>
      <c r="BD68" s="71" t="n"/>
      <c r="BE68" s="71" t="n"/>
      <c r="BF68" s="273" t="n"/>
      <c r="BG68" s="69" t="n"/>
      <c r="BH68" s="71" t="n"/>
      <c r="BI68" s="71" t="n"/>
      <c r="BJ68" s="71" t="n"/>
      <c r="BK68" s="71" t="n"/>
      <c r="BL68" s="273" t="n"/>
      <c r="BM68" s="69" t="n"/>
      <c r="BN68" s="71" t="n"/>
      <c r="BO68" s="71" t="n"/>
      <c r="BP68" s="71" t="n"/>
      <c r="BQ68" s="71" t="n"/>
      <c r="BR68" s="273" t="n"/>
      <c r="BS68" s="69" t="n"/>
      <c r="BT68" s="71" t="n"/>
      <c r="BU68" s="71" t="n"/>
      <c r="BV68" s="71" t="n"/>
      <c r="BW68" s="71" t="n"/>
      <c r="BX68" s="273" t="n"/>
      <c r="BZ68" s="274">
        <f>+E69+K69+Q69+W69+AC69+AI69+AO69+AU69+BA69+BG69+BM69+BS69</f>
        <v/>
      </c>
      <c r="CA68" s="275">
        <f>+F69+L69+R69+X69+AD69+AJ69+AP69+AV69+BB69+BH69+BN69+BT69</f>
        <v/>
      </c>
      <c r="CB68" s="275">
        <f>+G69+M69+S69+Y69+AE69+AK69+AQ69+AW69+BC69+BI69+BO69+BU69</f>
        <v/>
      </c>
      <c r="CC68" s="275">
        <f>+H69+N69+T69+Z69+AF69+AL69+AR69+AX69+BD69+BJ69+BP69+BV69</f>
        <v/>
      </c>
      <c r="CD68" s="280">
        <f>+I69+O69+U69+AA69+AG69+AM69+AS69+AY69+BE69+BK69+BQ69+BW69</f>
        <v/>
      </c>
      <c r="CE68" s="148">
        <f>+J69+P69+V69+AB69+AH69+AN69+AT69+AZ69+BF69+BL69+BR69+BX69</f>
        <v/>
      </c>
      <c r="CF68" s="149" t="n"/>
      <c r="CG68" s="149" t="n"/>
      <c r="CH68" s="149" t="n"/>
    </row>
    <row r="69">
      <c r="A69" s="71" t="n">
        <v>66</v>
      </c>
      <c r="B69" s="137" t="inlineStr">
        <is>
          <t>นาง</t>
        </is>
      </c>
      <c r="C69" s="74" t="inlineStr">
        <is>
          <t>ศิริรัตน์</t>
        </is>
      </c>
      <c r="D69" s="107" t="inlineStr">
        <is>
          <t>คล้ายสอน</t>
        </is>
      </c>
      <c r="E69" s="69" t="n"/>
      <c r="F69" s="71" t="n"/>
      <c r="G69" s="71" t="n"/>
      <c r="H69" s="71" t="n"/>
      <c r="I69" s="71" t="n"/>
      <c r="J69" s="278" t="n"/>
      <c r="K69" s="82" t="n"/>
      <c r="L69" s="84" t="n"/>
      <c r="M69" s="84" t="n"/>
      <c r="N69" s="84" t="n"/>
      <c r="O69" s="84" t="n"/>
      <c r="P69" s="278" t="n"/>
      <c r="Q69" s="82" t="n">
        <v>1</v>
      </c>
      <c r="R69" s="84" t="n">
        <v>2</v>
      </c>
      <c r="S69" s="84" t="n"/>
      <c r="T69" s="84" t="n"/>
      <c r="U69" s="84" t="n"/>
      <c r="V69" s="278" t="n"/>
      <c r="W69" s="95" t="n">
        <v>1</v>
      </c>
      <c r="X69" s="71" t="n">
        <v>2</v>
      </c>
      <c r="Y69" s="71" t="n"/>
      <c r="Z69" s="71" t="n"/>
      <c r="AA69" s="71" t="n"/>
      <c r="AB69" s="273" t="n"/>
      <c r="AC69" s="95" t="n">
        <v>1</v>
      </c>
      <c r="AD69" s="71" t="n">
        <v>1</v>
      </c>
      <c r="AE69" s="71" t="n"/>
      <c r="AF69" s="71" t="n"/>
      <c r="AG69" s="71" t="n">
        <v>1</v>
      </c>
      <c r="AH69" s="273" t="n"/>
      <c r="AI69" s="95" t="n">
        <v>3</v>
      </c>
      <c r="AJ69" s="71" t="n"/>
      <c r="AK69" s="71" t="n"/>
      <c r="AL69" s="71" t="n"/>
      <c r="AM69" s="71" t="n"/>
      <c r="AN69" s="273" t="n"/>
      <c r="AO69" s="69" t="n"/>
      <c r="AP69" s="71" t="n"/>
      <c r="AQ69" s="71" t="n"/>
      <c r="AR69" s="71" t="n"/>
      <c r="AS69" s="71" t="n"/>
      <c r="AT69" s="273" t="n"/>
      <c r="AU69" s="69" t="n"/>
      <c r="AV69" s="71" t="n"/>
      <c r="AW69" s="71" t="n"/>
      <c r="AX69" s="71" t="n"/>
      <c r="AY69" s="71" t="n"/>
      <c r="AZ69" s="273" t="n"/>
      <c r="BA69" s="69" t="n"/>
      <c r="BB69" s="71" t="n"/>
      <c r="BC69" s="71" t="n"/>
      <c r="BD69" s="71" t="n"/>
      <c r="BE69" s="71" t="n"/>
      <c r="BF69" s="273" t="n"/>
      <c r="BG69" s="69" t="n"/>
      <c r="BH69" s="71" t="n"/>
      <c r="BI69" s="71" t="n"/>
      <c r="BJ69" s="71" t="n"/>
      <c r="BK69" s="71" t="n"/>
      <c r="BL69" s="273" t="n"/>
      <c r="BM69" s="69" t="n"/>
      <c r="BN69" s="71" t="n">
        <v>1</v>
      </c>
      <c r="BO69" s="71" t="n"/>
      <c r="BP69" s="71" t="n"/>
      <c r="BQ69" s="71" t="n">
        <v>2</v>
      </c>
      <c r="BR69" s="273" t="n"/>
      <c r="BS69" s="69" t="n">
        <v>1</v>
      </c>
      <c r="BT69" s="71" t="n"/>
      <c r="BU69" s="71" t="n"/>
      <c r="BV69" s="71" t="n"/>
      <c r="BW69" s="71" t="n"/>
      <c r="BX69" s="273" t="n"/>
      <c r="BZ69" s="274">
        <f>+E70+K70+Q70+W70+AC70+AI70+AO70+AU70+BA70+BG70+BM70+BS70</f>
        <v/>
      </c>
      <c r="CA69" s="275">
        <f>+F70+L70+R70+X70+AD70+AJ70+AP70+AV70+BB70+BH70+BN70+BT70</f>
        <v/>
      </c>
      <c r="CB69" s="275">
        <f>+G70+M70+S70+Y70+AE70+AK70+AQ70+AW70+BC70+BI70+BO70+BU70</f>
        <v/>
      </c>
      <c r="CC69" s="275">
        <f>+H70+N70+T70+Z70+AF70+AL70+AR70+AX70+BD70+BJ70+BP70+BV70</f>
        <v/>
      </c>
      <c r="CD69" s="280">
        <f>+I70+O70+U70+AA70+AG70+AM70+AS70+AY70+BE70+BK70+BQ70+BW70</f>
        <v/>
      </c>
      <c r="CE69" s="148">
        <f>+J70+P70+V70+AB70+AH70+AN70+AT70+AZ70+BF70+BL70+BR70+BX70</f>
        <v/>
      </c>
      <c r="CF69" s="149" t="n"/>
      <c r="CG69" s="149" t="n"/>
      <c r="CH69" s="149" t="n"/>
    </row>
    <row r="70">
      <c r="A70" s="71" t="n">
        <v>67</v>
      </c>
      <c r="B70" s="137" t="inlineStr">
        <is>
          <t>น.ส.</t>
        </is>
      </c>
      <c r="C70" s="74" t="inlineStr">
        <is>
          <t>สถาพร</t>
        </is>
      </c>
      <c r="D70" s="107" t="inlineStr">
        <is>
          <t>โฉมเชิด</t>
        </is>
      </c>
      <c r="E70" s="69" t="n"/>
      <c r="F70" s="71" t="n">
        <v>0.5</v>
      </c>
      <c r="G70" s="71" t="n"/>
      <c r="H70" s="71" t="n"/>
      <c r="I70" s="71" t="n">
        <v>1</v>
      </c>
      <c r="J70" s="278" t="n"/>
      <c r="K70" s="82" t="n"/>
      <c r="L70" s="84" t="n">
        <v>2</v>
      </c>
      <c r="M70" s="84" t="n"/>
      <c r="N70" s="84" t="n"/>
      <c r="O70" s="84" t="n"/>
      <c r="P70" s="278" t="n"/>
      <c r="Q70" s="82" t="n">
        <v>0.5</v>
      </c>
      <c r="R70" s="84" t="n"/>
      <c r="S70" s="84" t="n"/>
      <c r="T70" s="84" t="n"/>
      <c r="U70" s="84" t="n">
        <v>1</v>
      </c>
      <c r="V70" s="278" t="n">
        <v>0.0006944444444444445</v>
      </c>
      <c r="W70" s="95" t="n">
        <v>1</v>
      </c>
      <c r="X70" s="71" t="n"/>
      <c r="Y70" s="71" t="n"/>
      <c r="Z70" s="71" t="n"/>
      <c r="AA70" s="71" t="n">
        <v>1</v>
      </c>
      <c r="AB70" s="273" t="n"/>
      <c r="AC70" s="95" t="n">
        <v>1.5</v>
      </c>
      <c r="AD70" s="71" t="n">
        <v>2</v>
      </c>
      <c r="AE70" s="71" t="n"/>
      <c r="AF70" s="71" t="n"/>
      <c r="AG70" s="71" t="n"/>
      <c r="AH70" s="273" t="n"/>
      <c r="AI70" s="95" t="n">
        <v>3</v>
      </c>
      <c r="AJ70" s="71" t="n">
        <v>0.5</v>
      </c>
      <c r="AK70" s="71" t="n"/>
      <c r="AL70" s="71" t="n"/>
      <c r="AM70" s="71" t="n"/>
      <c r="AN70" s="273" t="n"/>
      <c r="AO70" s="69" t="n"/>
      <c r="AP70" s="71" t="n"/>
      <c r="AQ70" s="71" t="n"/>
      <c r="AR70" s="71" t="n">
        <v>0.5</v>
      </c>
      <c r="AS70" s="71" t="n">
        <v>1</v>
      </c>
      <c r="AT70" s="273" t="n"/>
      <c r="AU70" s="69" t="n"/>
      <c r="AV70" s="71" t="n">
        <v>1</v>
      </c>
      <c r="AW70" s="71" t="n"/>
      <c r="AX70" s="71" t="n"/>
      <c r="AY70" s="71" t="n">
        <v>1</v>
      </c>
      <c r="AZ70" s="273" t="n"/>
      <c r="BA70" s="69" t="n">
        <v>1.5</v>
      </c>
      <c r="BB70" s="71" t="n"/>
      <c r="BC70" s="71" t="n"/>
      <c r="BD70" s="71" t="n"/>
      <c r="BE70" s="71" t="n"/>
      <c r="BF70" s="273" t="n"/>
      <c r="BG70" s="69" t="n">
        <v>1.5</v>
      </c>
      <c r="BH70" s="71" t="n"/>
      <c r="BI70" s="71" t="n"/>
      <c r="BJ70" s="71" t="n"/>
      <c r="BK70" s="71" t="n"/>
      <c r="BL70" s="273" t="n"/>
      <c r="BM70" s="69" t="n">
        <v>1.5</v>
      </c>
      <c r="BN70" s="71" t="n"/>
      <c r="BO70" s="71" t="n"/>
      <c r="BP70" s="71" t="n">
        <v>1</v>
      </c>
      <c r="BQ70" s="71" t="n">
        <v>1</v>
      </c>
      <c r="BR70" s="273" t="n"/>
      <c r="BS70" s="69" t="n">
        <v>2</v>
      </c>
      <c r="BT70" s="71" t="n"/>
      <c r="BU70" s="71" t="n">
        <v>1</v>
      </c>
      <c r="BV70" s="71" t="n">
        <v>0.5</v>
      </c>
      <c r="BW70" s="71" t="n"/>
      <c r="BX70" s="273" t="n"/>
      <c r="BZ70" s="274">
        <f>+E71+K71+Q71+W71+AC71+AI71+AO71+AU71+BA71+BG71+BM71+BS71</f>
        <v/>
      </c>
      <c r="CA70" s="275">
        <f>+F71+L71+R71+X71+AD71+AJ71+AP71+AV71+BB71+BH71+BN71+BT71</f>
        <v/>
      </c>
      <c r="CB70" s="275">
        <f>+G71+M71+S71+Y71+AE71+AK71+AQ71+AW71+BC71+BI71+BO71+BU71</f>
        <v/>
      </c>
      <c r="CC70" s="275">
        <f>+H71+N71+T71+Z71+AF71+AL71+AR71+AX71+BD71+BJ71+BP71+BV71</f>
        <v/>
      </c>
      <c r="CD70" s="280">
        <f>+I71+O71+U71+AA71+AG71+AM71+AS71+AY71+BE71+BK71+BQ71+BW71</f>
        <v/>
      </c>
      <c r="CE70" s="148">
        <f>+J71+P71+V71+AB71+AH71+AN71+AT71+AZ71+BF71+BL71+BR71+BX71</f>
        <v/>
      </c>
      <c r="CF70" s="149" t="n"/>
      <c r="CG70" s="149" t="n"/>
      <c r="CH70" s="149" t="n"/>
    </row>
    <row r="71">
      <c r="A71" s="71" t="n">
        <v>68</v>
      </c>
      <c r="B71" s="146" t="inlineStr">
        <is>
          <t>นาง</t>
        </is>
      </c>
      <c r="C71" s="74" t="inlineStr">
        <is>
          <t>สายทอง</t>
        </is>
      </c>
      <c r="D71" s="107" t="inlineStr">
        <is>
          <t>ชอบรส</t>
        </is>
      </c>
      <c r="E71" s="69" t="n"/>
      <c r="F71" s="71" t="n"/>
      <c r="G71" s="71" t="n"/>
      <c r="H71" s="71" t="n"/>
      <c r="I71" s="71" t="n"/>
      <c r="J71" s="278" t="n"/>
      <c r="K71" s="82" t="n"/>
      <c r="L71" s="84" t="n"/>
      <c r="M71" s="84" t="n"/>
      <c r="N71" s="84" t="n"/>
      <c r="O71" s="84" t="n"/>
      <c r="P71" s="278" t="n"/>
      <c r="Q71" s="82" t="n"/>
      <c r="R71" s="84" t="n"/>
      <c r="S71" s="84" t="n"/>
      <c r="T71" s="84" t="n"/>
      <c r="U71" s="84" t="n"/>
      <c r="V71" s="278" t="n"/>
      <c r="W71" s="95" t="n"/>
      <c r="X71" s="71" t="n">
        <v>1</v>
      </c>
      <c r="Y71" s="71" t="n"/>
      <c r="Z71" s="71" t="n"/>
      <c r="AA71" s="71" t="n"/>
      <c r="AB71" s="273" t="n"/>
      <c r="AC71" s="95" t="n"/>
      <c r="AD71" s="71" t="n"/>
      <c r="AE71" s="71" t="n"/>
      <c r="AF71" s="71" t="n"/>
      <c r="AG71" s="71" t="n"/>
      <c r="AH71" s="273" t="n"/>
      <c r="AI71" s="95" t="n"/>
      <c r="AJ71" s="71" t="n">
        <v>1</v>
      </c>
      <c r="AK71" s="71" t="n"/>
      <c r="AL71" s="71" t="n"/>
      <c r="AM71" s="71" t="n"/>
      <c r="AN71" s="273" t="n"/>
      <c r="AO71" s="69" t="n">
        <v>1</v>
      </c>
      <c r="AP71" s="71" t="n"/>
      <c r="AQ71" s="71" t="n"/>
      <c r="AR71" s="71" t="n"/>
      <c r="AS71" s="71" t="n"/>
      <c r="AT71" s="273" t="n"/>
      <c r="AU71" s="69" t="n">
        <v>1</v>
      </c>
      <c r="AV71" s="71" t="n"/>
      <c r="AW71" s="71" t="n"/>
      <c r="AX71" s="71" t="n"/>
      <c r="AY71" s="71" t="n"/>
      <c r="AZ71" s="273" t="n"/>
      <c r="BA71" s="69" t="n"/>
      <c r="BB71" s="71" t="n"/>
      <c r="BC71" s="71" t="n"/>
      <c r="BD71" s="71" t="n"/>
      <c r="BE71" s="71" t="n"/>
      <c r="BF71" s="273" t="n"/>
      <c r="BG71" s="69" t="n"/>
      <c r="BH71" s="71" t="n"/>
      <c r="BI71" s="71" t="n"/>
      <c r="BJ71" s="71" t="n"/>
      <c r="BK71" s="71" t="n"/>
      <c r="BL71" s="273" t="n"/>
      <c r="BM71" s="69" t="n">
        <v>1</v>
      </c>
      <c r="BN71" s="71" t="n"/>
      <c r="BO71" s="71" t="n"/>
      <c r="BP71" s="71" t="n"/>
      <c r="BQ71" s="71" t="n"/>
      <c r="BR71" s="273" t="n"/>
      <c r="BS71" s="69" t="n"/>
      <c r="BT71" s="71" t="n"/>
      <c r="BU71" s="71" t="n"/>
      <c r="BV71" s="71" t="n"/>
      <c r="BW71" s="71" t="n"/>
      <c r="BX71" s="273" t="n"/>
      <c r="BZ71" s="274">
        <f>+E72+K72+Q72+W72+AC72+AI72+AO72+AU72+BA72+BG72+BM72+BS72</f>
        <v/>
      </c>
      <c r="CA71" s="275">
        <f>+F72+L72+R72+X72+AD72+AJ72+AP72+AV72+BB72+BH72+BN72+BT72</f>
        <v/>
      </c>
      <c r="CB71" s="275">
        <f>+G72+M72+S72+Y72+AE72+AK72+AQ72+AW72+BC72+BI72+BO72+BU72</f>
        <v/>
      </c>
      <c r="CC71" s="275">
        <f>+H72+N72+T72+Z72+AF72+AL72+AR72+AX72+BD72+BJ72+BP72+BV72</f>
        <v/>
      </c>
      <c r="CD71" s="280">
        <f>+I72+O72+U72+AA72+AG72+AM72+AS72+AY72+BE72+BK72+BQ72+BW72</f>
        <v/>
      </c>
      <c r="CE71" s="148">
        <f>+J72+P72+V72+AB72+AH72+AN72+AT72+AZ72+BF72+BL72+BR72+BX72</f>
        <v/>
      </c>
      <c r="CF71" s="149" t="n"/>
      <c r="CG71" s="149" t="n"/>
      <c r="CH71" s="149" t="n"/>
    </row>
    <row r="72">
      <c r="A72" s="71" t="n">
        <v>69</v>
      </c>
      <c r="B72" s="137" t="inlineStr">
        <is>
          <t>นาย</t>
        </is>
      </c>
      <c r="C72" s="74" t="inlineStr">
        <is>
          <t>สิทธิชัย</t>
        </is>
      </c>
      <c r="D72" s="107" t="inlineStr">
        <is>
          <t>โฉมเชิด</t>
        </is>
      </c>
      <c r="E72" s="69" t="n"/>
      <c r="F72" s="71" t="n">
        <v>1</v>
      </c>
      <c r="G72" s="71" t="n"/>
      <c r="H72" s="71" t="n"/>
      <c r="I72" s="71" t="n"/>
      <c r="J72" s="278" t="n"/>
      <c r="K72" s="82" t="n"/>
      <c r="L72" s="84" t="n">
        <v>0.5</v>
      </c>
      <c r="M72" s="84" t="n"/>
      <c r="N72" s="84" t="n"/>
      <c r="O72" s="84" t="n"/>
      <c r="P72" s="278" t="n"/>
      <c r="Q72" s="82" t="n"/>
      <c r="R72" s="84" t="n"/>
      <c r="S72" s="84" t="n"/>
      <c r="T72" s="84" t="n"/>
      <c r="U72" s="84" t="n">
        <v>2</v>
      </c>
      <c r="V72" s="278" t="n"/>
      <c r="W72" s="95" t="n">
        <v>1.5</v>
      </c>
      <c r="X72" s="71" t="n"/>
      <c r="Y72" s="71" t="n"/>
      <c r="Z72" s="71" t="n"/>
      <c r="AA72" s="71" t="n"/>
      <c r="AB72" s="273" t="n"/>
      <c r="AC72" s="95" t="n"/>
      <c r="AD72" s="71" t="n">
        <v>1</v>
      </c>
      <c r="AE72" s="71" t="n"/>
      <c r="AF72" s="71" t="n"/>
      <c r="AG72" s="71" t="n"/>
      <c r="AH72" s="273" t="n">
        <v>0.0006944444444444445</v>
      </c>
      <c r="AI72" s="95" t="n">
        <v>3</v>
      </c>
      <c r="AJ72" s="71" t="n"/>
      <c r="AK72" s="71" t="n"/>
      <c r="AL72" s="71" t="n"/>
      <c r="AM72" s="71" t="n"/>
      <c r="AN72" s="273" t="n"/>
      <c r="AO72" s="69" t="n"/>
      <c r="AP72" s="71" t="n"/>
      <c r="AQ72" s="71" t="n"/>
      <c r="AR72" s="71" t="n"/>
      <c r="AS72" s="71" t="n"/>
      <c r="AT72" s="273" t="n"/>
      <c r="AU72" s="69" t="n"/>
      <c r="AV72" s="71" t="n"/>
      <c r="AW72" s="71" t="n"/>
      <c r="AX72" s="71" t="n"/>
      <c r="AY72" s="71" t="n"/>
      <c r="AZ72" s="273" t="n"/>
      <c r="BA72" s="69" t="n"/>
      <c r="BB72" s="71" t="n">
        <v>2</v>
      </c>
      <c r="BC72" s="71" t="n"/>
      <c r="BD72" s="71" t="n"/>
      <c r="BE72" s="71" t="n">
        <v>1</v>
      </c>
      <c r="BF72" s="273" t="n"/>
      <c r="BG72" s="69" t="n">
        <v>1</v>
      </c>
      <c r="BH72" s="71" t="n"/>
      <c r="BI72" s="71" t="n"/>
      <c r="BJ72" s="71" t="n"/>
      <c r="BK72" s="71" t="n"/>
      <c r="BL72" s="273" t="n"/>
      <c r="BM72" s="69" t="n"/>
      <c r="BN72" s="71" t="n"/>
      <c r="BO72" s="71" t="n"/>
      <c r="BP72" s="71" t="n"/>
      <c r="BQ72" s="71" t="n"/>
      <c r="BR72" s="273" t="n">
        <v>0.0006944444444444445</v>
      </c>
      <c r="BS72" s="69" t="n"/>
      <c r="BT72" s="71" t="n"/>
      <c r="BU72" s="71" t="n"/>
      <c r="BV72" s="71" t="n"/>
      <c r="BW72" s="71" t="n">
        <v>1</v>
      </c>
      <c r="BX72" s="273" t="n"/>
      <c r="BZ72" s="274">
        <f>+E73+K73+Q73+W73+AC73+AI73+AO73+AU73+BA73+BG73+BM73+BS73</f>
        <v/>
      </c>
      <c r="CA72" s="275">
        <f>+F73+L73+R73+X73+AD73+AJ73+AP73+AV73+BB73+BH73+BN73+BT73</f>
        <v/>
      </c>
      <c r="CB72" s="275">
        <f>+G73+M73+S73+Y73+AE73+AK73+AQ73+AW73+BC73+BI73+BO73+BU73</f>
        <v/>
      </c>
      <c r="CC72" s="275">
        <f>+H73+N73+T73+Z73+AF73+AL73+AR73+AX73+BD73+BJ73+BP73+BV73</f>
        <v/>
      </c>
      <c r="CD72" s="280">
        <f>+I73+O73+U73+AA73+AG73+AM73+AS73+AY73+BE73+BK73+BQ73+BW73</f>
        <v/>
      </c>
      <c r="CE72" s="148">
        <f>+J73+P73+V73+AB73+AH73+AN73+AT73+AZ73+BF73+BL73+BR73+BX73</f>
        <v/>
      </c>
      <c r="CF72" s="149" t="n"/>
      <c r="CG72" s="149" t="n"/>
      <c r="CH72" s="149" t="n"/>
    </row>
    <row r="73">
      <c r="A73" s="71" t="n">
        <v>70</v>
      </c>
      <c r="B73" s="137" t="inlineStr">
        <is>
          <t>นาง</t>
        </is>
      </c>
      <c r="C73" s="74" t="inlineStr">
        <is>
          <t>สุพรรษา</t>
        </is>
      </c>
      <c r="D73" s="107" t="inlineStr">
        <is>
          <t>กาฬภักดี</t>
        </is>
      </c>
      <c r="E73" s="69" t="n">
        <v>1.5</v>
      </c>
      <c r="F73" s="71" t="n">
        <v>2</v>
      </c>
      <c r="G73" s="71" t="n"/>
      <c r="H73" s="71" t="n"/>
      <c r="I73" s="71" t="n"/>
      <c r="J73" s="278" t="n"/>
      <c r="K73" s="82" t="n"/>
      <c r="L73" s="84" t="n"/>
      <c r="M73" s="84" t="n"/>
      <c r="N73" s="84" t="n"/>
      <c r="O73" s="84" t="n"/>
      <c r="P73" s="278" t="n"/>
      <c r="Q73" s="82" t="n">
        <v>1</v>
      </c>
      <c r="R73" s="84" t="n"/>
      <c r="S73" s="84" t="n"/>
      <c r="T73" s="84" t="n"/>
      <c r="U73" s="84" t="n"/>
      <c r="V73" s="278" t="n"/>
      <c r="W73" s="95" t="n">
        <v>1</v>
      </c>
      <c r="X73" s="71" t="n"/>
      <c r="Y73" s="71" t="n"/>
      <c r="Z73" s="71" t="n"/>
      <c r="AA73" s="71" t="n"/>
      <c r="AB73" s="273" t="n"/>
      <c r="AC73" s="95" t="n">
        <v>1</v>
      </c>
      <c r="AD73" s="71" t="n"/>
      <c r="AE73" s="71" t="n"/>
      <c r="AF73" s="71" t="n"/>
      <c r="AG73" s="71" t="n"/>
      <c r="AH73" s="273" t="n"/>
      <c r="AI73" s="95" t="n">
        <v>3.5</v>
      </c>
      <c r="AJ73" s="71" t="n"/>
      <c r="AK73" s="71" t="n"/>
      <c r="AL73" s="71" t="n"/>
      <c r="AM73" s="71" t="n"/>
      <c r="AN73" s="273" t="n"/>
      <c r="AO73" s="69" t="n"/>
      <c r="AP73" s="71" t="n">
        <v>1</v>
      </c>
      <c r="AQ73" s="71" t="n"/>
      <c r="AR73" s="71" t="n"/>
      <c r="AS73" s="71" t="n"/>
      <c r="AT73" s="273" t="n"/>
      <c r="AU73" s="69" t="n">
        <v>1</v>
      </c>
      <c r="AV73" s="71" t="n">
        <v>3</v>
      </c>
      <c r="AW73" s="71" t="n"/>
      <c r="AX73" s="71" t="n"/>
      <c r="AY73" s="71" t="n"/>
      <c r="AZ73" s="273" t="n"/>
      <c r="BA73" s="69" t="n"/>
      <c r="BB73" s="71" t="n"/>
      <c r="BC73" s="71" t="n"/>
      <c r="BD73" s="71" t="n">
        <v>1</v>
      </c>
      <c r="BE73" s="71" t="n"/>
      <c r="BF73" s="273" t="n"/>
      <c r="BG73" s="69" t="n">
        <v>1</v>
      </c>
      <c r="BH73" s="71" t="n"/>
      <c r="BI73" s="71" t="n"/>
      <c r="BJ73" s="71" t="n"/>
      <c r="BK73" s="71" t="n">
        <v>1</v>
      </c>
      <c r="BL73" s="273" t="n"/>
      <c r="BM73" s="69" t="n">
        <v>1</v>
      </c>
      <c r="BN73" s="71" t="n"/>
      <c r="BO73" s="71" t="n"/>
      <c r="BP73" s="71" t="n">
        <v>0.5</v>
      </c>
      <c r="BQ73" s="71" t="n"/>
      <c r="BR73" s="273" t="n"/>
      <c r="BS73" s="69" t="n"/>
      <c r="BT73" s="71" t="n"/>
      <c r="BU73" s="71" t="n"/>
      <c r="BV73" s="71" t="n"/>
      <c r="BW73" s="71" t="n"/>
      <c r="BX73" s="273" t="n"/>
      <c r="BZ73" s="274">
        <f>+E74+K74+Q74+W74+AC74+AI74+AO74+AU74+BA74+BG74+BM74+BS74</f>
        <v/>
      </c>
      <c r="CA73" s="275">
        <f>+F74+L74+R74+X74+AD74+AJ74+AP74+AV74+BB74+BH74+BN74+BT74</f>
        <v/>
      </c>
      <c r="CB73" s="275">
        <f>+G74+M74+S74+Y74+AE74+AK74+AQ74+AW74+BC74+BI74+BO74+BU74</f>
        <v/>
      </c>
      <c r="CC73" s="275">
        <f>+H74+N74+T74+Z74+AF74+AL74+AR74+AX74+BD74+BJ74+BP74+BV74</f>
        <v/>
      </c>
      <c r="CD73" s="280">
        <f>+I74+O74+U74+AA74+AG74+AM74+AS74+AY74+BE74+BK74+BQ74+BW74</f>
        <v/>
      </c>
      <c r="CE73" s="148">
        <f>+J74+P74+V74+AB74+AH74+AN74+AT74+AZ74+BF74+BL74+BR74+BX74</f>
        <v/>
      </c>
      <c r="CF73" s="149" t="n"/>
      <c r="CG73" s="149" t="n"/>
      <c r="CH73" s="149" t="n"/>
    </row>
    <row r="74">
      <c r="A74" s="71" t="n">
        <v>71</v>
      </c>
      <c r="B74" s="137" t="inlineStr">
        <is>
          <t>นาย</t>
        </is>
      </c>
      <c r="C74" s="64" t="inlineStr">
        <is>
          <t>สุเมต</t>
        </is>
      </c>
      <c r="D74" s="14" t="inlineStr">
        <is>
          <t>เผือกผ่อง</t>
        </is>
      </c>
      <c r="E74" s="69" t="n"/>
      <c r="F74" s="71" t="n"/>
      <c r="G74" s="71" t="n"/>
      <c r="H74" s="71" t="n"/>
      <c r="I74" s="71" t="n"/>
      <c r="J74" s="278" t="n"/>
      <c r="K74" s="82" t="n"/>
      <c r="L74" s="84" t="n"/>
      <c r="M74" s="84" t="n"/>
      <c r="N74" s="84" t="n"/>
      <c r="O74" s="84" t="n"/>
      <c r="P74" s="278" t="n"/>
      <c r="Q74" s="82" t="n"/>
      <c r="R74" s="84" t="n"/>
      <c r="S74" s="84" t="n"/>
      <c r="T74" s="84" t="n"/>
      <c r="U74" s="84" t="n">
        <v>1</v>
      </c>
      <c r="V74" s="278" t="n"/>
      <c r="W74" s="95" t="n"/>
      <c r="X74" s="71" t="n"/>
      <c r="Y74" s="71" t="n"/>
      <c r="Z74" s="71" t="n"/>
      <c r="AA74" s="71" t="n"/>
      <c r="AB74" s="273" t="n"/>
      <c r="AC74" s="95" t="n"/>
      <c r="AD74" s="71" t="n">
        <v>1.5</v>
      </c>
      <c r="AE74" s="71" t="n"/>
      <c r="AF74" s="71" t="n"/>
      <c r="AG74" s="71" t="n"/>
      <c r="AH74" s="273" t="n"/>
      <c r="AI74" s="95" t="n"/>
      <c r="AJ74" s="71" t="n"/>
      <c r="AK74" s="71" t="n"/>
      <c r="AL74" s="71" t="n"/>
      <c r="AM74" s="71" t="n"/>
      <c r="AN74" s="273" t="n"/>
      <c r="AO74" s="69" t="n"/>
      <c r="AP74" s="71" t="n"/>
      <c r="AQ74" s="71" t="n"/>
      <c r="AR74" s="71" t="n"/>
      <c r="AS74" s="71" t="n"/>
      <c r="AT74" s="273" t="n"/>
      <c r="AU74" s="69" t="n"/>
      <c r="AV74" s="71" t="n"/>
      <c r="AW74" s="71" t="n"/>
      <c r="AX74" s="71" t="n"/>
      <c r="AY74" s="71" t="n">
        <v>2</v>
      </c>
      <c r="AZ74" s="273" t="n"/>
      <c r="BA74" s="69" t="n"/>
      <c r="BB74" s="71" t="n"/>
      <c r="BC74" s="71" t="n"/>
      <c r="BD74" s="71" t="n"/>
      <c r="BE74" s="71" t="n"/>
      <c r="BF74" s="273" t="n"/>
      <c r="BG74" s="69" t="n"/>
      <c r="BH74" s="71" t="n"/>
      <c r="BI74" s="71" t="n"/>
      <c r="BJ74" s="71" t="n"/>
      <c r="BK74" s="71" t="n"/>
      <c r="BL74" s="273" t="n"/>
      <c r="BM74" s="69" t="n"/>
      <c r="BN74" s="71" t="n"/>
      <c r="BO74" s="71" t="n"/>
      <c r="BP74" s="71" t="n"/>
      <c r="BQ74" s="71" t="n">
        <v>1</v>
      </c>
      <c r="BR74" s="273" t="n"/>
      <c r="BS74" s="69" t="n"/>
      <c r="BT74" s="71" t="n"/>
      <c r="BU74" s="71" t="n"/>
      <c r="BV74" s="71" t="n"/>
      <c r="BW74" s="71" t="n"/>
      <c r="BX74" s="273" t="n"/>
      <c r="BZ74" s="274">
        <f>+E75+K75+Q75+W75+AC75+AI75+AO75+AU75+BA75+BG75+BM75+BS75</f>
        <v/>
      </c>
      <c r="CA74" s="275">
        <f>+F75+L75+R75+X75+AD75+AJ75+AP75+AV75+BB75+BH75+BN75+BT75</f>
        <v/>
      </c>
      <c r="CB74" s="275">
        <f>+G75+M75+S75+Y75+AE75+AK75+AQ75+AW75+BC75+BI75+BO75+BU75</f>
        <v/>
      </c>
      <c r="CC74" s="275">
        <f>+H75+N75+T75+Z75+AF75+AL75+AR75+AX75+BD75+BJ75+BP75+BV75</f>
        <v/>
      </c>
      <c r="CD74" s="280">
        <f>+I75+O75+U75+AA75+AG75+AM75+AS75+AY75+BE75+BK75+BQ75+BW75</f>
        <v/>
      </c>
      <c r="CE74" s="148">
        <f>+J75+P75+V75+AB75+AH75+AN75+AT75+AZ75+BF75+BL75+BR75+BX75</f>
        <v/>
      </c>
      <c r="CF74" s="149" t="n"/>
      <c r="CG74" s="149" t="n"/>
      <c r="CH74" s="149" t="n"/>
    </row>
    <row r="75">
      <c r="A75" s="71" t="n">
        <v>72</v>
      </c>
      <c r="B75" s="137" t="inlineStr">
        <is>
          <t>น.ส.</t>
        </is>
      </c>
      <c r="C75" s="64" t="inlineStr">
        <is>
          <t>สุรีพร</t>
        </is>
      </c>
      <c r="D75" s="14" t="inlineStr">
        <is>
          <t>อ่อนคำ</t>
        </is>
      </c>
      <c r="E75" s="69" t="n"/>
      <c r="F75" s="71" t="n"/>
      <c r="G75" s="71" t="n"/>
      <c r="H75" s="71" t="n"/>
      <c r="I75" s="71" t="n"/>
      <c r="J75" s="278" t="n"/>
      <c r="K75" s="82" t="n"/>
      <c r="L75" s="84" t="n"/>
      <c r="M75" s="84" t="n"/>
      <c r="N75" s="84" t="n"/>
      <c r="O75" s="84" t="n"/>
      <c r="P75" s="278" t="n"/>
      <c r="Q75" s="82" t="n"/>
      <c r="R75" s="84" t="n"/>
      <c r="S75" s="84" t="n"/>
      <c r="T75" s="84" t="n"/>
      <c r="U75" s="84" t="n"/>
      <c r="V75" s="278" t="n"/>
      <c r="W75" s="95" t="n">
        <v>3</v>
      </c>
      <c r="X75" s="71" t="n">
        <v>1.5</v>
      </c>
      <c r="Y75" s="71" t="n"/>
      <c r="Z75" s="71" t="n"/>
      <c r="AA75" s="71" t="n"/>
      <c r="AB75" s="273" t="n"/>
      <c r="AC75" s="95" t="n">
        <v>1</v>
      </c>
      <c r="AD75" s="71" t="n">
        <v>1.5</v>
      </c>
      <c r="AE75" s="71" t="n"/>
      <c r="AF75" s="71" t="n"/>
      <c r="AG75" s="71" t="n"/>
      <c r="AH75" s="273" t="n"/>
      <c r="AI75" s="95" t="n"/>
      <c r="AJ75" s="71" t="n">
        <v>1</v>
      </c>
      <c r="AK75" s="71" t="n"/>
      <c r="AL75" s="71" t="n"/>
      <c r="AM75" s="71" t="n"/>
      <c r="AN75" s="273" t="n"/>
      <c r="AO75" s="69" t="n">
        <v>1</v>
      </c>
      <c r="AP75" s="71" t="n">
        <v>1</v>
      </c>
      <c r="AQ75" s="71" t="n"/>
      <c r="AR75" s="71" t="n"/>
      <c r="AS75" s="71" t="n"/>
      <c r="AT75" s="273" t="n"/>
      <c r="AU75" s="69" t="n"/>
      <c r="AV75" s="71" t="n">
        <v>0.5</v>
      </c>
      <c r="AW75" s="71" t="n"/>
      <c r="AX75" s="71" t="n"/>
      <c r="AY75" s="71" t="n"/>
      <c r="AZ75" s="273" t="n"/>
      <c r="BA75" s="69" t="n"/>
      <c r="BB75" s="71" t="n">
        <v>0.5</v>
      </c>
      <c r="BC75" s="71" t="n"/>
      <c r="BD75" s="71" t="n"/>
      <c r="BE75" s="71" t="n"/>
      <c r="BF75" s="273" t="n"/>
      <c r="BG75" s="69" t="n"/>
      <c r="BH75" s="71" t="n"/>
      <c r="BI75" s="71" t="n"/>
      <c r="BJ75" s="71" t="n">
        <v>0.5</v>
      </c>
      <c r="BK75" s="71" t="n"/>
      <c r="BL75" s="273" t="n"/>
      <c r="BM75" s="69" t="n"/>
      <c r="BN75" s="71" t="n"/>
      <c r="BO75" s="71" t="n">
        <v>1</v>
      </c>
      <c r="BP75" s="71" t="n"/>
      <c r="BQ75" s="71" t="n"/>
      <c r="BR75" s="273" t="n"/>
      <c r="BS75" s="69" t="n"/>
      <c r="BT75" s="71" t="n"/>
      <c r="BU75" s="71" t="n"/>
      <c r="BV75" s="71" t="n"/>
      <c r="BW75" s="71" t="n">
        <v>2</v>
      </c>
      <c r="BX75" s="273" t="n"/>
      <c r="BZ75" s="274">
        <f>+E76+K76+Q76+W76+AC76+AI76+AO76+AU76+BA76+BG76+BM76+BS76</f>
        <v/>
      </c>
      <c r="CA75" s="275">
        <f>+F76+L76+R76+X76+AD76+AJ76+AP76+AV76+BB76+BH76+BN76+BT76</f>
        <v/>
      </c>
      <c r="CB75" s="275">
        <f>+G76+M76+S76+Y76+AE76+AK76+AQ76+AW76+BC76+BI76+BO76+BU76</f>
        <v/>
      </c>
      <c r="CC75" s="275">
        <f>+H76+N76+T76+Z76+AF76+AL76+AR76+AX76+BD76+BJ76+BP76+BV76</f>
        <v/>
      </c>
      <c r="CD75" s="280">
        <f>+I76+O76+U76+AA76+AG76+AM76+AS76+AY76+BE76+BK76+BQ76+BW76</f>
        <v/>
      </c>
      <c r="CE75" s="148">
        <f>+J76+P76+V76+AB76+AH76+AN76+AT76+AZ76+BF76+BL76+BR76+BX76</f>
        <v/>
      </c>
      <c r="CF75" s="149" t="n"/>
      <c r="CG75" s="149" t="n"/>
      <c r="CH75" s="149" t="n"/>
    </row>
    <row r="76">
      <c r="A76" s="71" t="n">
        <v>73</v>
      </c>
      <c r="B76" s="137" t="inlineStr">
        <is>
          <t>น.ส.</t>
        </is>
      </c>
      <c r="C76" s="64" t="inlineStr">
        <is>
          <t>สุรีรัตน์</t>
        </is>
      </c>
      <c r="D76" s="14" t="inlineStr">
        <is>
          <t>พุ่มโพธิ์</t>
        </is>
      </c>
      <c r="E76" s="69" t="n">
        <v>2</v>
      </c>
      <c r="F76" s="71" t="n">
        <v>0.5</v>
      </c>
      <c r="G76" s="71" t="n"/>
      <c r="H76" s="71" t="n"/>
      <c r="I76" s="71" t="n"/>
      <c r="J76" s="278" t="n"/>
      <c r="K76" s="82" t="n"/>
      <c r="L76" s="84" t="n"/>
      <c r="M76" s="84" t="n"/>
      <c r="N76" s="84" t="n"/>
      <c r="O76" s="84" t="n"/>
      <c r="P76" s="278" t="n"/>
      <c r="Q76" s="82" t="n">
        <v>1</v>
      </c>
      <c r="R76" s="84" t="n">
        <v>0.5</v>
      </c>
      <c r="S76" s="84" t="n"/>
      <c r="T76" s="84" t="n"/>
      <c r="U76" s="84" t="n">
        <v>1</v>
      </c>
      <c r="V76" s="278" t="n"/>
      <c r="W76" s="95" t="n"/>
      <c r="X76" s="71" t="n">
        <v>0.5</v>
      </c>
      <c r="Y76" s="71" t="n"/>
      <c r="Z76" s="71" t="n"/>
      <c r="AA76" s="71" t="n">
        <v>2</v>
      </c>
      <c r="AB76" s="273" t="n"/>
      <c r="AC76" s="95" t="n">
        <v>1</v>
      </c>
      <c r="AD76" s="71" t="n">
        <v>0.5</v>
      </c>
      <c r="AE76" s="71" t="n"/>
      <c r="AF76" s="71" t="n"/>
      <c r="AG76" s="71" t="n"/>
      <c r="AH76" s="273" t="n"/>
      <c r="AI76" s="95" t="n"/>
      <c r="AJ76" s="71" t="n">
        <v>0.5</v>
      </c>
      <c r="AK76" s="71" t="n"/>
      <c r="AL76" s="71" t="n"/>
      <c r="AM76" s="71" t="n">
        <v>1</v>
      </c>
      <c r="AN76" s="273" t="n"/>
      <c r="AO76" s="69" t="n"/>
      <c r="AP76" s="71" t="n"/>
      <c r="AQ76" s="71" t="n"/>
      <c r="AR76" s="71" t="n"/>
      <c r="AS76" s="71" t="n">
        <v>1</v>
      </c>
      <c r="AT76" s="273" t="n"/>
      <c r="AU76" s="69" t="n"/>
      <c r="AV76" s="71" t="n"/>
      <c r="AW76" s="71" t="n"/>
      <c r="AX76" s="71" t="n"/>
      <c r="AY76" s="71" t="n"/>
      <c r="AZ76" s="273" t="n"/>
      <c r="BA76" s="69" t="n"/>
      <c r="BB76" s="71" t="n"/>
      <c r="BC76" s="71" t="n"/>
      <c r="BD76" s="71" t="n"/>
      <c r="BE76" s="71" t="n"/>
      <c r="BF76" s="273" t="n"/>
      <c r="BG76" s="69" t="n">
        <v>2</v>
      </c>
      <c r="BH76" s="71" t="n">
        <v>0.5</v>
      </c>
      <c r="BI76" s="71" t="n"/>
      <c r="BJ76" s="71" t="n"/>
      <c r="BK76" s="71" t="n"/>
      <c r="BL76" s="273" t="n"/>
      <c r="BM76" s="69" t="n"/>
      <c r="BN76" s="71" t="n"/>
      <c r="BO76" s="71" t="n"/>
      <c r="BP76" s="71" t="n"/>
      <c r="BQ76" s="71" t="n"/>
      <c r="BR76" s="273" t="n"/>
      <c r="BS76" s="69" t="n"/>
      <c r="BT76" s="71" t="n"/>
      <c r="BU76" s="71" t="n"/>
      <c r="BV76" s="71" t="n"/>
      <c r="BW76" s="71" t="n"/>
      <c r="BX76" s="273" t="n"/>
      <c r="BZ76" s="274">
        <f>+E77+K77+Q77+W77+AC77+AI77+AO77+AU77+BA77+BG77+BM77+BS77</f>
        <v/>
      </c>
      <c r="CA76" s="275">
        <f>+F77+L77+R77+X77+AD77+AJ77+AP77+AV77+BB77+BH77+BN77+BT77</f>
        <v/>
      </c>
      <c r="CB76" s="275">
        <f>+G77+M77+S77+Y77+AE77+AK77+AQ77+AW77+BC77+BI77+BO77+BU77</f>
        <v/>
      </c>
      <c r="CC76" s="275">
        <f>+H77+N77+T77+Z77+AF77+AL77+AR77+AX77+BD77+BJ77+BP77+BV77</f>
        <v/>
      </c>
      <c r="CD76" s="280">
        <f>+I77+O77+U77+AA77+AG77+AM77+AS77+AY77+BE77+BK77+BQ77+BW77</f>
        <v/>
      </c>
      <c r="CE76" s="148">
        <f>+J77+P77+V77+AB77+AH77+AN77+AT77+AZ77+BF77+BL77+BR77+BX77</f>
        <v/>
      </c>
      <c r="CF76" s="149" t="n"/>
      <c r="CG76" s="149" t="n"/>
      <c r="CH76" s="149" t="n"/>
    </row>
    <row r="77">
      <c r="A77" s="71" t="n">
        <v>74</v>
      </c>
      <c r="B77" s="137" t="inlineStr">
        <is>
          <t>น.ส.</t>
        </is>
      </c>
      <c r="C77" s="74" t="inlineStr">
        <is>
          <t>สุวรรณ</t>
        </is>
      </c>
      <c r="D77" s="107" t="inlineStr">
        <is>
          <t>รุ่งเรือง</t>
        </is>
      </c>
      <c r="E77" s="69" t="n"/>
      <c r="F77" s="71" t="n">
        <v>2</v>
      </c>
      <c r="G77" s="71" t="n"/>
      <c r="H77" s="71" t="n"/>
      <c r="I77" s="71" t="n"/>
      <c r="J77" s="278" t="n"/>
      <c r="K77" s="82" t="n"/>
      <c r="L77" s="84" t="n"/>
      <c r="M77" s="84" t="n"/>
      <c r="N77" s="84" t="n"/>
      <c r="O77" s="84" t="n"/>
      <c r="P77" s="278" t="n"/>
      <c r="Q77" s="82" t="n"/>
      <c r="R77" s="84" t="n"/>
      <c r="S77" s="84" t="n"/>
      <c r="T77" s="84" t="n"/>
      <c r="U77" s="84" t="n">
        <v>2</v>
      </c>
      <c r="V77" s="278" t="n"/>
      <c r="W77" s="95" t="n"/>
      <c r="X77" s="71" t="n">
        <v>1.5</v>
      </c>
      <c r="Y77" s="71" t="n"/>
      <c r="Z77" s="71" t="n"/>
      <c r="AA77" s="71" t="n"/>
      <c r="AB77" s="273" t="n"/>
      <c r="AC77" s="95" t="n"/>
      <c r="AD77" s="71" t="n"/>
      <c r="AE77" s="71" t="n"/>
      <c r="AF77" s="71" t="n"/>
      <c r="AG77" s="71" t="n"/>
      <c r="AH77" s="273" t="n"/>
      <c r="AI77" s="95" t="n"/>
      <c r="AJ77" s="71" t="n"/>
      <c r="AK77" s="71" t="n"/>
      <c r="AL77" s="71" t="n"/>
      <c r="AM77" s="71" t="n"/>
      <c r="AN77" s="273" t="n"/>
      <c r="AO77" s="69" t="n"/>
      <c r="AP77" s="71" t="n"/>
      <c r="AQ77" s="71" t="n"/>
      <c r="AR77" s="71" t="n"/>
      <c r="AS77" s="71" t="n"/>
      <c r="AT77" s="273" t="n"/>
      <c r="AU77" s="69" t="n"/>
      <c r="AV77" s="71" t="n"/>
      <c r="AW77" s="71" t="n"/>
      <c r="AX77" s="71" t="n"/>
      <c r="AY77" s="71" t="n"/>
      <c r="AZ77" s="273" t="n"/>
      <c r="BA77" s="69" t="n">
        <v>4.5</v>
      </c>
      <c r="BB77" s="71" t="n"/>
      <c r="BC77" s="71" t="n"/>
      <c r="BD77" s="71" t="n"/>
      <c r="BE77" s="71" t="n">
        <v>2</v>
      </c>
      <c r="BF77" s="273" t="n"/>
      <c r="BG77" s="69" t="n"/>
      <c r="BH77" s="71" t="n">
        <v>1</v>
      </c>
      <c r="BI77" s="71" t="n"/>
      <c r="BJ77" s="71" t="n"/>
      <c r="BK77" s="71" t="n"/>
      <c r="BL77" s="273" t="n"/>
      <c r="BM77" s="69" t="n"/>
      <c r="BN77" s="71" t="n"/>
      <c r="BO77" s="71" t="n"/>
      <c r="BP77" s="71" t="n"/>
      <c r="BQ77" s="71" t="n"/>
      <c r="BR77" s="273" t="n"/>
      <c r="BS77" s="69" t="n"/>
      <c r="BT77" s="71" t="n"/>
      <c r="BU77" s="71" t="n"/>
      <c r="BV77" s="71" t="n"/>
      <c r="BW77" s="71" t="n"/>
      <c r="BX77" s="273" t="n"/>
      <c r="BZ77" s="274">
        <f>+E78+K78+Q78+W78+AC78+AI78+AO78+AU78+BA78+BG78+BM78+BS78</f>
        <v/>
      </c>
      <c r="CA77" s="275">
        <f>+F78+L78+R78+X78+AD78+AJ78+AP78+AV78+BB78+BH78+BN78+BT78</f>
        <v/>
      </c>
      <c r="CB77" s="275">
        <f>+G78+M78+S78+Y78+AE78+AK78+AQ78+AW78+BC78+BI78+BO78+BU78</f>
        <v/>
      </c>
      <c r="CC77" s="275">
        <f>+H78+N78+T78+Z78+AF78+AL78+AR78+AX78+BD78+BJ78+BP78+BV78</f>
        <v/>
      </c>
      <c r="CD77" s="280">
        <f>+I78+O78+U78+AA78+AG78+AM78+AS78+AY78+BE78+BK78+BQ78+BW78</f>
        <v/>
      </c>
      <c r="CE77" s="148">
        <f>+J78+P78+V78+AB78+AH78+AN78+AT78+AZ78+BF78+BL78+BR78+BX78</f>
        <v/>
      </c>
      <c r="CF77" s="149" t="n"/>
      <c r="CG77" s="149" t="n"/>
      <c r="CH77" s="149" t="n"/>
    </row>
    <row r="78">
      <c r="A78" s="71" t="n">
        <v>75</v>
      </c>
      <c r="B78" s="137" t="inlineStr">
        <is>
          <t>นาง</t>
        </is>
      </c>
      <c r="C78" s="74" t="inlineStr">
        <is>
          <t>สำรอง</t>
        </is>
      </c>
      <c r="D78" s="107" t="inlineStr">
        <is>
          <t>ทั่งทอง</t>
        </is>
      </c>
      <c r="E78" s="69" t="n"/>
      <c r="F78" s="71" t="n"/>
      <c r="G78" s="71" t="n"/>
      <c r="H78" s="71" t="n"/>
      <c r="I78" s="71" t="n"/>
      <c r="J78" s="278" t="n"/>
      <c r="K78" s="82" t="n"/>
      <c r="L78" s="84" t="n"/>
      <c r="M78" s="84" t="n"/>
      <c r="N78" s="84" t="n"/>
      <c r="O78" s="84" t="n"/>
      <c r="P78" s="278" t="n"/>
      <c r="Q78" s="82" t="n"/>
      <c r="R78" s="84" t="n"/>
      <c r="S78" s="84" t="n"/>
      <c r="T78" s="84" t="n"/>
      <c r="U78" s="84" t="n"/>
      <c r="V78" s="278" t="n"/>
      <c r="W78" s="95" t="n"/>
      <c r="X78" s="71" t="n"/>
      <c r="Y78" s="71" t="n"/>
      <c r="Z78" s="71" t="n"/>
      <c r="AA78" s="71" t="n"/>
      <c r="AB78" s="273" t="n"/>
      <c r="AC78" s="95" t="n"/>
      <c r="AD78" s="71" t="n">
        <v>2</v>
      </c>
      <c r="AE78" s="71" t="n"/>
      <c r="AF78" s="71" t="n"/>
      <c r="AG78" s="71" t="n"/>
      <c r="AH78" s="273" t="n"/>
      <c r="AI78" s="95" t="n"/>
      <c r="AJ78" s="71" t="n">
        <v>1</v>
      </c>
      <c r="AK78" s="71" t="n"/>
      <c r="AL78" s="71" t="n"/>
      <c r="AM78" s="71" t="n"/>
      <c r="AN78" s="273" t="n"/>
      <c r="AO78" s="69" t="n"/>
      <c r="AP78" s="71" t="n"/>
      <c r="AQ78" s="71" t="n"/>
      <c r="AR78" s="71" t="n"/>
      <c r="AS78" s="71" t="n"/>
      <c r="AT78" s="273" t="n"/>
      <c r="AU78" s="69" t="n"/>
      <c r="AV78" s="71" t="n"/>
      <c r="AW78" s="71" t="n"/>
      <c r="AX78" s="71" t="n"/>
      <c r="AY78" s="71" t="n"/>
      <c r="AZ78" s="273" t="n"/>
      <c r="BA78" s="69" t="n"/>
      <c r="BB78" s="71" t="n"/>
      <c r="BC78" s="71" t="n"/>
      <c r="BD78" s="71" t="n"/>
      <c r="BE78" s="71" t="n"/>
      <c r="BF78" s="273" t="n"/>
      <c r="BG78" s="69" t="n"/>
      <c r="BH78" s="71" t="n"/>
      <c r="BI78" s="71" t="n"/>
      <c r="BJ78" s="71" t="n"/>
      <c r="BK78" s="71" t="n"/>
      <c r="BL78" s="273" t="n"/>
      <c r="BM78" s="69" t="n"/>
      <c r="BN78" s="71" t="n">
        <v>0.5</v>
      </c>
      <c r="BO78" s="71" t="n"/>
      <c r="BP78" s="71" t="n"/>
      <c r="BQ78" s="71" t="n"/>
      <c r="BR78" s="273" t="n"/>
      <c r="BS78" s="69" t="n"/>
      <c r="BT78" s="71" t="n"/>
      <c r="BU78" s="71" t="n"/>
      <c r="BV78" s="71" t="n"/>
      <c r="BW78" s="71" t="n"/>
      <c r="BX78" s="273" t="n"/>
      <c r="BZ78" s="274">
        <f>+E79+K79+Q79+W79+AC79+AI79+AO79+AU79+BA79+BG79+BM79+BS79</f>
        <v/>
      </c>
      <c r="CA78" s="275">
        <f>+F79+L79+R79+X79+AD79+AJ79+AP79+AV79+BB79+BH79+BN79+BT79</f>
        <v/>
      </c>
      <c r="CB78" s="275">
        <f>+G79+M79+S79+Y79+AE79+AK79+AQ79+AW79+BC79+BI79+BO79+BU79</f>
        <v/>
      </c>
      <c r="CC78" s="275">
        <f>+H79+N79+T79+Z79+AF79+AL79+AR79+AX79+BD79+BJ79+BP79+BV79</f>
        <v/>
      </c>
      <c r="CD78" s="280">
        <f>+I79+O79+U79+AA79+AG79+AM79+AS79+AY79+BE79+BK79+BQ79+BW79</f>
        <v/>
      </c>
      <c r="CE78" s="148">
        <f>+J79+P79+V79+AB79+AH79+AN79+AT79+AZ79+BF79+BL79+BR79+BX79</f>
        <v/>
      </c>
      <c r="CF78" s="149" t="n"/>
      <c r="CG78" s="149" t="n"/>
      <c r="CH78" s="149" t="n"/>
    </row>
    <row r="79">
      <c r="A79" s="71" t="n">
        <v>76</v>
      </c>
      <c r="B79" s="137" t="inlineStr">
        <is>
          <t>นาย</t>
        </is>
      </c>
      <c r="C79" s="74" t="inlineStr">
        <is>
          <t>หวัน</t>
        </is>
      </c>
      <c r="D79" s="107" t="inlineStr">
        <is>
          <t>ใจวกุล</t>
        </is>
      </c>
      <c r="E79" s="69" t="n"/>
      <c r="F79" s="71" t="n">
        <v>1</v>
      </c>
      <c r="G79" s="71" t="n"/>
      <c r="H79" s="71" t="n"/>
      <c r="I79" s="71" t="n"/>
      <c r="J79" s="278" t="n"/>
      <c r="K79" s="82" t="n"/>
      <c r="L79" s="84" t="n"/>
      <c r="M79" s="84" t="n"/>
      <c r="N79" s="84" t="n"/>
      <c r="O79" s="84" t="n"/>
      <c r="P79" s="278" t="n"/>
      <c r="Q79" s="82" t="n"/>
      <c r="R79" s="84" t="n"/>
      <c r="S79" s="84" t="n"/>
      <c r="T79" s="84" t="n">
        <v>1</v>
      </c>
      <c r="U79" s="84" t="n"/>
      <c r="V79" s="278" t="n"/>
      <c r="W79" s="95" t="n"/>
      <c r="X79" s="71" t="n">
        <v>1</v>
      </c>
      <c r="Y79" s="71" t="n"/>
      <c r="Z79" s="71" t="n"/>
      <c r="AA79" s="71" t="n">
        <v>1</v>
      </c>
      <c r="AB79" s="273" t="n"/>
      <c r="AC79" s="95" t="n"/>
      <c r="AD79" s="71" t="n"/>
      <c r="AE79" s="71" t="n"/>
      <c r="AF79" s="71" t="n"/>
      <c r="AG79" s="71" t="n"/>
      <c r="AH79" s="273" t="n"/>
      <c r="AI79" s="95" t="n"/>
      <c r="AJ79" s="71" t="n"/>
      <c r="AK79" s="71" t="n"/>
      <c r="AL79" s="71" t="n"/>
      <c r="AM79" s="71" t="n"/>
      <c r="AN79" s="273" t="n"/>
      <c r="AO79" s="69" t="n"/>
      <c r="AP79" s="71" t="n">
        <v>4</v>
      </c>
      <c r="AQ79" s="71" t="n"/>
      <c r="AR79" s="71" t="n"/>
      <c r="AS79" s="71" t="n"/>
      <c r="AT79" s="273" t="n"/>
      <c r="AU79" s="69" t="n"/>
      <c r="AV79" s="71" t="n"/>
      <c r="AW79" s="71" t="n"/>
      <c r="AX79" s="71" t="n"/>
      <c r="AY79" s="71" t="n"/>
      <c r="AZ79" s="273" t="n"/>
      <c r="BA79" s="69" t="n"/>
      <c r="BB79" s="71" t="n"/>
      <c r="BC79" s="71" t="n"/>
      <c r="BD79" s="71" t="n"/>
      <c r="BE79" s="71" t="n"/>
      <c r="BF79" s="273" t="n"/>
      <c r="BG79" s="69" t="n"/>
      <c r="BH79" s="71" t="n"/>
      <c r="BI79" s="71" t="n"/>
      <c r="BJ79" s="71" t="n"/>
      <c r="BK79" s="71" t="n">
        <v>1</v>
      </c>
      <c r="BL79" s="273" t="n"/>
      <c r="BM79" s="69" t="n"/>
      <c r="BN79" s="71" t="n"/>
      <c r="BO79" s="71" t="n"/>
      <c r="BP79" s="71" t="n"/>
      <c r="BQ79" s="71" t="n"/>
      <c r="BR79" s="273" t="n"/>
      <c r="BS79" s="69" t="n"/>
      <c r="BT79" s="71" t="n"/>
      <c r="BU79" s="71" t="n"/>
      <c r="BV79" s="71" t="n"/>
      <c r="BW79" s="71" t="n">
        <v>2</v>
      </c>
      <c r="BX79" s="273" t="n"/>
      <c r="BZ79" s="274">
        <f>+E80+K80+Q80+W80+AC80+AI80+AO80+AU80+BA80+BG80+BM80+BS80</f>
        <v/>
      </c>
      <c r="CA79" s="275">
        <f>+F80+L80+R80+X80+AD80+AJ80+AP80+AV80+BB80+BH80+BN80+BT80</f>
        <v/>
      </c>
      <c r="CB79" s="275">
        <f>+G80+M80+S80+Y80+AE80+AK80+AQ80+AW80+BC80+BI80+BO80+BU80</f>
        <v/>
      </c>
      <c r="CC79" s="275">
        <f>+H80+N80+T80+Z80+AF80+AL80+AR80+AX80+BD80+BJ80+BP80+BV80</f>
        <v/>
      </c>
      <c r="CD79" s="280">
        <f>+I80+O80+U80+AA80+AG80+AM80+AS80+AY80+BE80+BK80+BQ80+BW80</f>
        <v/>
      </c>
      <c r="CE79" s="148">
        <f>+J80+P80+V80+AB80+AH80+AN80+AT80+AZ80+BF80+BL80+BR80+BX80</f>
        <v/>
      </c>
      <c r="CF79" s="149" t="n"/>
      <c r="CG79" s="149" t="n"/>
      <c r="CH79" s="149" t="n"/>
    </row>
    <row r="80">
      <c r="A80" s="71" t="n">
        <v>77</v>
      </c>
      <c r="B80" s="137" t="inlineStr">
        <is>
          <t>นาย</t>
        </is>
      </c>
      <c r="C80" s="74" t="inlineStr">
        <is>
          <t>อร่าม</t>
        </is>
      </c>
      <c r="D80" s="107" t="inlineStr">
        <is>
          <t>เข็มเงิน</t>
        </is>
      </c>
      <c r="E80" s="69" t="n"/>
      <c r="F80" s="71" t="n"/>
      <c r="G80" s="71" t="n"/>
      <c r="H80" s="71" t="n"/>
      <c r="I80" s="71" t="n"/>
      <c r="J80" s="278" t="n"/>
      <c r="K80" s="82" t="n">
        <v>2</v>
      </c>
      <c r="L80" s="84" t="n"/>
      <c r="M80" s="84" t="n"/>
      <c r="N80" s="84" t="n"/>
      <c r="O80" s="84" t="n"/>
      <c r="P80" s="278" t="n"/>
      <c r="Q80" s="82" t="n"/>
      <c r="R80" s="84" t="n">
        <v>0.5</v>
      </c>
      <c r="S80" s="84" t="n"/>
      <c r="T80" s="84" t="n"/>
      <c r="U80" s="84" t="n">
        <v>1</v>
      </c>
      <c r="V80" s="278" t="n"/>
      <c r="W80" s="95" t="n"/>
      <c r="X80" s="71" t="n">
        <v>0.5</v>
      </c>
      <c r="Y80" s="71" t="n"/>
      <c r="Z80" s="71" t="n">
        <v>0.5</v>
      </c>
      <c r="AA80" s="71" t="n"/>
      <c r="AB80" s="273" t="n"/>
      <c r="AC80" s="95" t="n">
        <v>1</v>
      </c>
      <c r="AD80" s="71" t="n"/>
      <c r="AE80" s="71" t="n"/>
      <c r="AF80" s="71" t="n"/>
      <c r="AG80" s="71" t="n">
        <v>1</v>
      </c>
      <c r="AH80" s="273" t="n"/>
      <c r="AI80" s="95" t="n"/>
      <c r="AJ80" s="71" t="n"/>
      <c r="AK80" s="71" t="n"/>
      <c r="AL80" s="71" t="n"/>
      <c r="AM80" s="71" t="n"/>
      <c r="AN80" s="273" t="n"/>
      <c r="AO80" s="69" t="n"/>
      <c r="AP80" s="71" t="n">
        <v>0.5</v>
      </c>
      <c r="AQ80" s="71" t="n"/>
      <c r="AR80" s="71" t="n"/>
      <c r="AS80" s="71" t="n"/>
      <c r="AT80" s="273" t="n"/>
      <c r="AU80" s="69" t="n">
        <v>1</v>
      </c>
      <c r="AV80" s="71" t="n"/>
      <c r="AW80" s="71" t="n"/>
      <c r="AX80" s="71" t="n"/>
      <c r="AY80" s="71" t="n"/>
      <c r="AZ80" s="273" t="n"/>
      <c r="BA80" s="69" t="n"/>
      <c r="BB80" s="71" t="n">
        <v>1.5</v>
      </c>
      <c r="BC80" s="71" t="n"/>
      <c r="BD80" s="71" t="n"/>
      <c r="BE80" s="71" t="n"/>
      <c r="BF80" s="273" t="n"/>
      <c r="BG80" s="69" t="n"/>
      <c r="BH80" s="71" t="n">
        <v>2</v>
      </c>
      <c r="BI80" s="71" t="n"/>
      <c r="BJ80" s="71" t="n"/>
      <c r="BK80" s="71" t="n">
        <v>1</v>
      </c>
      <c r="BL80" s="273" t="n"/>
      <c r="BM80" s="69" t="n"/>
      <c r="BN80" s="71" t="n"/>
      <c r="BO80" s="71" t="n"/>
      <c r="BP80" s="71" t="n"/>
      <c r="BQ80" s="71" t="n"/>
      <c r="BR80" s="273" t="n"/>
      <c r="BS80" s="69" t="n">
        <v>1</v>
      </c>
      <c r="BT80" s="71" t="n"/>
      <c r="BU80" s="71" t="n"/>
      <c r="BV80" s="71" t="n"/>
      <c r="BW80" s="71" t="n">
        <v>1</v>
      </c>
      <c r="BX80" s="273" t="n"/>
      <c r="BZ80" s="274">
        <f>+E81+K81+Q81+W81+AC81+AI81+AO81+AU81+BA81+BG81+BM81+BS81</f>
        <v/>
      </c>
      <c r="CA80" s="275">
        <f>+F81+L81+R81+X81+AD81+AJ81+AP81+AV81+BB81+BH81+BN81+BT81</f>
        <v/>
      </c>
      <c r="CB80" s="275">
        <f>+G81+M81+S81+Y81+AE81+AK81+AQ81+AW81+BC81+BI81+BO81+BU81</f>
        <v/>
      </c>
      <c r="CC80" s="275">
        <f>+H81+N81+T81+Z81+AF81+AL81+AR81+AX81+BD81+BJ81+BP81+BV81</f>
        <v/>
      </c>
      <c r="CD80" s="280">
        <f>+I81+O81+U81+AA81+AG81+AM81+AS81+AY81+BE81+BK81+BQ81+BW81</f>
        <v/>
      </c>
      <c r="CE80" s="148">
        <f>+J81+P81+V81+AB81+AH81+AN81+AT81+AZ81+BF81+BL81+BR81+BX81</f>
        <v/>
      </c>
      <c r="CF80" s="149" t="n"/>
      <c r="CG80" s="149" t="n"/>
      <c r="CH80" s="149" t="n"/>
    </row>
    <row r="81">
      <c r="A81" s="71" t="n">
        <v>78</v>
      </c>
      <c r="B81" s="137" t="inlineStr">
        <is>
          <t>น.ส.</t>
        </is>
      </c>
      <c r="C81" s="74" t="inlineStr">
        <is>
          <t>อัญชลี</t>
        </is>
      </c>
      <c r="D81" s="107" t="inlineStr">
        <is>
          <t>อุ่มแสง</t>
        </is>
      </c>
      <c r="E81" s="69" t="n">
        <v>2</v>
      </c>
      <c r="F81" s="71" t="n"/>
      <c r="G81" s="71" t="n"/>
      <c r="H81" s="71" t="n"/>
      <c r="I81" s="71" t="n">
        <v>1</v>
      </c>
      <c r="J81" s="273" t="n"/>
      <c r="K81" s="69" t="n">
        <v>1</v>
      </c>
      <c r="L81" s="71" t="n"/>
      <c r="M81" s="71" t="n"/>
      <c r="N81" s="71" t="n"/>
      <c r="O81" s="71" t="n">
        <v>1</v>
      </c>
      <c r="P81" s="273" t="n"/>
      <c r="Q81" s="69" t="n">
        <v>2</v>
      </c>
      <c r="R81" s="71" t="n"/>
      <c r="S81" s="71" t="n"/>
      <c r="T81" s="71" t="n"/>
      <c r="U81" s="71" t="n">
        <v>2</v>
      </c>
      <c r="V81" s="273" t="n"/>
      <c r="W81" s="95" t="n">
        <v>1</v>
      </c>
      <c r="X81" s="71" t="n"/>
      <c r="Y81" s="71" t="n"/>
      <c r="Z81" s="71" t="n"/>
      <c r="AA81" s="71" t="n">
        <v>1</v>
      </c>
      <c r="AB81" s="273" t="n">
        <v>0.001388888888888889</v>
      </c>
      <c r="AC81" s="95" t="n">
        <v>1</v>
      </c>
      <c r="AD81" s="71" t="n">
        <v>1.5</v>
      </c>
      <c r="AE81" s="71" t="n"/>
      <c r="AF81" s="71" t="n"/>
      <c r="AG81" s="71" t="n"/>
      <c r="AH81" s="273" t="n"/>
      <c r="AI81" s="95" t="n">
        <v>9</v>
      </c>
      <c r="AJ81" s="71" t="n">
        <v>3</v>
      </c>
      <c r="AK81" s="71" t="n"/>
      <c r="AL81" s="71" t="n"/>
      <c r="AM81" s="71" t="n"/>
      <c r="AN81" s="273" t="n"/>
      <c r="AO81" s="69" t="n"/>
      <c r="AP81" s="71" t="n">
        <v>0.5</v>
      </c>
      <c r="AQ81" s="71" t="n"/>
      <c r="AR81" s="71" t="n"/>
      <c r="AS81" s="71" t="n"/>
      <c r="AT81" s="273" t="n"/>
      <c r="AU81" s="69" t="n">
        <v>2</v>
      </c>
      <c r="AV81" s="71" t="n"/>
      <c r="AW81" s="71" t="n"/>
      <c r="AX81" s="71" t="n">
        <v>0.5</v>
      </c>
      <c r="AY81" s="71" t="n"/>
      <c r="AZ81" s="273" t="n"/>
      <c r="BA81" s="69" t="n">
        <v>1.5</v>
      </c>
      <c r="BB81" s="71" t="n"/>
      <c r="BC81" s="71" t="n"/>
      <c r="BD81" s="71" t="n"/>
      <c r="BE81" s="71" t="n"/>
      <c r="BF81" s="273" t="n">
        <v>0.0006944444444444445</v>
      </c>
      <c r="BG81" s="69" t="n">
        <v>1</v>
      </c>
      <c r="BH81" s="71" t="n">
        <v>1</v>
      </c>
      <c r="BI81" s="71" t="n">
        <v>3</v>
      </c>
      <c r="BJ81" s="71" t="n">
        <v>2</v>
      </c>
      <c r="BK81" s="71" t="n"/>
      <c r="BL81" s="273" t="n"/>
      <c r="BM81" s="69" t="n">
        <v>1</v>
      </c>
      <c r="BN81" s="71" t="n"/>
      <c r="BO81" s="71" t="n">
        <v>1</v>
      </c>
      <c r="BP81" s="71" t="n">
        <v>1</v>
      </c>
      <c r="BQ81" s="71" t="n"/>
      <c r="BR81" s="273" t="n"/>
      <c r="BS81" s="69" t="n">
        <v>1</v>
      </c>
      <c r="BT81" s="71" t="n"/>
      <c r="BU81" s="71" t="n">
        <v>1</v>
      </c>
      <c r="BV81" s="71" t="n"/>
      <c r="BW81" s="71" t="n"/>
      <c r="BX81" s="273" t="n">
        <v>0.0006944444444444445</v>
      </c>
      <c r="BZ81" s="274">
        <f>+E82+K82+Q82+W82+AC82+AI82+AO82+AU82+BA82+BG82+BM82+BS82</f>
        <v/>
      </c>
      <c r="CA81" s="275">
        <f>+F82+L82+R82+X82+AD82+AJ82+AP82+AV82+BB82+BH82+BN82+BT82</f>
        <v/>
      </c>
      <c r="CB81" s="275">
        <f>+G82+M82+S82+Y82+AE82+AK82+AQ82+AW82+BC82+BI82+BO82+BU82</f>
        <v/>
      </c>
      <c r="CC81" s="275">
        <f>+H82+N82+T82+Z82+AF82+AL82+AR82+AX82+BD82+BJ82+BP82+BV82</f>
        <v/>
      </c>
      <c r="CD81" s="280">
        <f>+I82+O82+U82+AA82+AG82+AM82+AS82+AY82+BE82+BK82+BQ82+BW82</f>
        <v/>
      </c>
      <c r="CE81" s="148">
        <f>+J82+P82+V82+AB82+AH82+AN82+AT82+AZ82+BF82+BL82+BR82+BX82</f>
        <v/>
      </c>
      <c r="CF81" s="149" t="n"/>
      <c r="CG81" s="149" t="n"/>
      <c r="CH81" s="149" t="n"/>
    </row>
    <row r="82">
      <c r="A82" s="71" t="n">
        <v>79</v>
      </c>
      <c r="B82" s="137" t="inlineStr">
        <is>
          <t>น.ส.</t>
        </is>
      </c>
      <c r="C82" s="74" t="inlineStr">
        <is>
          <t>อุบลรัตน์</t>
        </is>
      </c>
      <c r="D82" s="14" t="inlineStr">
        <is>
          <t>ทั่งทอง</t>
        </is>
      </c>
      <c r="E82" s="69" t="n">
        <v>2</v>
      </c>
      <c r="F82" s="71" t="n">
        <v>0.5</v>
      </c>
      <c r="G82" s="71" t="n"/>
      <c r="H82" s="71" t="n"/>
      <c r="I82" s="71" t="n"/>
      <c r="J82" s="273" t="n"/>
      <c r="K82" s="69" t="n"/>
      <c r="L82" s="71" t="n"/>
      <c r="M82" s="71" t="n"/>
      <c r="N82" s="71" t="n"/>
      <c r="O82" s="71" t="n"/>
      <c r="P82" s="273" t="n"/>
      <c r="Q82" s="69" t="n"/>
      <c r="R82" s="71" t="n"/>
      <c r="S82" s="71" t="n"/>
      <c r="T82" s="71" t="n">
        <v>0.5</v>
      </c>
      <c r="U82" s="71" t="n">
        <v>1</v>
      </c>
      <c r="V82" s="273" t="n"/>
      <c r="W82" s="95" t="n">
        <v>2.5</v>
      </c>
      <c r="X82" s="71" t="n"/>
      <c r="Y82" s="71" t="n"/>
      <c r="Z82" s="71" t="n"/>
      <c r="AA82" s="71" t="n"/>
      <c r="AB82" s="273" t="n"/>
      <c r="AC82" s="95" t="n">
        <v>1</v>
      </c>
      <c r="AD82" s="71" t="n"/>
      <c r="AE82" s="71" t="n"/>
      <c r="AF82" s="71" t="n">
        <v>0.5</v>
      </c>
      <c r="AG82" s="71" t="n"/>
      <c r="AH82" s="273" t="n"/>
      <c r="AI82" s="95" t="n"/>
      <c r="AJ82" s="71" t="n"/>
      <c r="AK82" s="71" t="n"/>
      <c r="AL82" s="71" t="n"/>
      <c r="AM82" s="71" t="n"/>
      <c r="AN82" s="273" t="n"/>
      <c r="AO82" s="69" t="n"/>
      <c r="AP82" s="71" t="n"/>
      <c r="AQ82" s="71" t="n"/>
      <c r="AR82" s="71" t="n"/>
      <c r="AS82" s="71" t="n"/>
      <c r="AT82" s="273" t="n"/>
      <c r="AU82" s="69" t="n"/>
      <c r="AV82" s="71" t="n">
        <v>5.5</v>
      </c>
      <c r="AW82" s="71" t="n">
        <v>1.5</v>
      </c>
      <c r="AX82" s="71" t="n">
        <v>0.5</v>
      </c>
      <c r="AY82" s="71" t="n"/>
      <c r="AZ82" s="273" t="n"/>
      <c r="BA82" s="69" t="n">
        <v>0.5</v>
      </c>
      <c r="BB82" s="71" t="n"/>
      <c r="BC82" s="71" t="n"/>
      <c r="BD82" s="71" t="n"/>
      <c r="BE82" s="71" t="n"/>
      <c r="BF82" s="273" t="n"/>
      <c r="BG82" s="69" t="n"/>
      <c r="BH82" s="71" t="n"/>
      <c r="BI82" s="71" t="n">
        <v>5</v>
      </c>
      <c r="BJ82" s="71" t="n">
        <v>0.5</v>
      </c>
      <c r="BK82" s="71" t="n">
        <v>1</v>
      </c>
      <c r="BL82" s="273" t="n"/>
      <c r="BM82" s="69" t="n"/>
      <c r="BN82" s="71" t="n"/>
      <c r="BO82" s="71" t="n"/>
      <c r="BP82" s="71" t="n"/>
      <c r="BQ82" s="71" t="n"/>
      <c r="BR82" s="273" t="n"/>
      <c r="BS82" s="69" t="n"/>
      <c r="BT82" s="71" t="n"/>
      <c r="BU82" s="71" t="n"/>
      <c r="BV82" s="71" t="n"/>
      <c r="BW82" s="71" t="n"/>
      <c r="BX82" s="273" t="n"/>
      <c r="BZ82" s="274">
        <f>+E83+K83+Q83+W83+AC83+AI83+AO83+AU83+BA83+BG83+BM83+BS83</f>
        <v/>
      </c>
      <c r="CA82" s="275">
        <f>+F83+L83+R83+X83+AD83+AJ83+AP83+AV83+BB83+BH83+BN83+BT83</f>
        <v/>
      </c>
      <c r="CB82" s="275">
        <f>+G83+M83+S83+Y83+AE83+AK83+AQ83+AW83+BC83+BI83+BO83+BU83</f>
        <v/>
      </c>
      <c r="CC82" s="275">
        <f>+H83+N83+T83+Z83+AF83+AL83+AR83+AX83+BD83+BJ83+BP83+BV83</f>
        <v/>
      </c>
      <c r="CD82" s="280">
        <f>+I83+O83+U83+AA83+AG83+AM83+AS83+AY83+BE83+BK83+BQ83+BW83</f>
        <v/>
      </c>
      <c r="CE82" s="148">
        <f>+J83+P83+V83+AB83+AH83+AN83+AT83+AZ83+BF83+BL83+BR83+BX83</f>
        <v/>
      </c>
      <c r="CF82" s="149" t="n"/>
      <c r="CG82" s="149" t="n"/>
      <c r="CH82" s="149" t="n"/>
    </row>
    <row r="83">
      <c r="A83" s="71" t="n">
        <v>80</v>
      </c>
      <c r="B83" s="137" t="inlineStr">
        <is>
          <t>น.ส.</t>
        </is>
      </c>
      <c r="C83" s="216" t="inlineStr">
        <is>
          <t>ชลันดา</t>
        </is>
      </c>
      <c r="D83" s="14" t="inlineStr">
        <is>
          <t>ราชวงศ์</t>
        </is>
      </c>
      <c r="E83" s="69" t="n"/>
      <c r="F83" s="71" t="n"/>
      <c r="G83" s="71" t="n"/>
      <c r="H83" s="71" t="n"/>
      <c r="I83" s="71" t="n"/>
      <c r="J83" s="273" t="n"/>
      <c r="K83" s="69" t="n"/>
      <c r="L83" s="71" t="n"/>
      <c r="M83" s="71" t="n"/>
      <c r="N83" s="71" t="n"/>
      <c r="O83" s="71" t="n"/>
      <c r="P83" s="273" t="n"/>
      <c r="Q83" s="69" t="n"/>
      <c r="R83" s="71" t="n"/>
      <c r="S83" s="71" t="n"/>
      <c r="T83" s="71" t="n"/>
      <c r="U83" s="71" t="n"/>
      <c r="V83" s="273" t="n"/>
      <c r="W83" s="69" t="n"/>
      <c r="X83" s="71" t="n"/>
      <c r="Y83" s="71" t="n"/>
      <c r="Z83" s="71" t="n"/>
      <c r="AA83" s="71" t="n"/>
      <c r="AB83" s="273" t="n"/>
      <c r="AC83" s="69" t="n"/>
      <c r="AD83" s="71" t="n"/>
      <c r="AE83" s="71" t="n"/>
      <c r="AF83" s="71" t="n"/>
      <c r="AG83" s="71" t="n"/>
      <c r="AH83" s="273" t="n"/>
      <c r="AI83" s="69" t="n"/>
      <c r="AJ83" s="71" t="n"/>
      <c r="AK83" s="71" t="n"/>
      <c r="AL83" s="71" t="n"/>
      <c r="AM83" s="71" t="n"/>
      <c r="AN83" s="273" t="n"/>
      <c r="AO83" s="69" t="n"/>
      <c r="AP83" s="71" t="n"/>
      <c r="AQ83" s="71" t="n"/>
      <c r="AR83" s="71" t="n"/>
      <c r="AS83" s="71" t="n"/>
      <c r="AT83" s="273" t="n"/>
      <c r="AU83" s="69" t="n"/>
      <c r="AV83" s="71" t="n">
        <v>1</v>
      </c>
      <c r="AW83" s="71" t="n"/>
      <c r="AX83" s="71" t="n"/>
      <c r="AY83" s="71" t="n"/>
      <c r="AZ83" s="273" t="n"/>
      <c r="BA83" s="69" t="n"/>
      <c r="BB83" s="71" t="n"/>
      <c r="BC83" s="71" t="n"/>
      <c r="BD83" s="71" t="n"/>
      <c r="BE83" s="71" t="n"/>
      <c r="BF83" s="273" t="n"/>
      <c r="BG83" s="69" t="n"/>
      <c r="BH83" s="71" t="n"/>
      <c r="BI83" s="71" t="n"/>
      <c r="BJ83" s="71" t="n"/>
      <c r="BK83" s="71" t="n"/>
      <c r="BL83" s="273" t="n"/>
      <c r="BM83" s="69" t="n"/>
      <c r="BN83" s="71" t="n">
        <v>1</v>
      </c>
      <c r="BO83" s="71" t="n"/>
      <c r="BP83" s="71" t="n"/>
      <c r="BQ83" s="71" t="n"/>
      <c r="BR83" s="273" t="n">
        <v>0.0006944444444444445</v>
      </c>
      <c r="BS83" s="69" t="n"/>
      <c r="BT83" s="71" t="n">
        <v>1</v>
      </c>
      <c r="BU83" s="71" t="n"/>
      <c r="BV83" s="71" t="n"/>
      <c r="BW83" s="71" t="n"/>
      <c r="BX83" s="273" t="n"/>
      <c r="BZ83" s="274">
        <f>+E84+K84+Q84+W84+AC84+AI84+AO84+AU84+BA84+BG84+BM84+BS84</f>
        <v/>
      </c>
      <c r="CA83" s="275">
        <f>+F84+L84+R84+X84+AD84+AJ84+AP84+AV84+BB84+BH84+BN84+BT84</f>
        <v/>
      </c>
      <c r="CB83" s="275">
        <f>+G84+M84+S84+Y84+AE84+AK84+AQ84+AW84+BC84+BI84+BO84+BU84</f>
        <v/>
      </c>
      <c r="CC83" s="275">
        <f>+H84+N84+T84+Z84+AF84+AL84+AR84+AX84+BD84+BJ84+BP84+BV84</f>
        <v/>
      </c>
      <c r="CD83" s="276">
        <f>+I84+O84+U84+AA84+AG84+AM84+AS84+AY84+BE84+BK84+BQ84+BW84</f>
        <v/>
      </c>
      <c r="CE83" s="142">
        <f>+J84+P84+V84+AB84+AH84+AN84+AT84+AZ84+BF84+BL84+BR84+BX84</f>
        <v/>
      </c>
      <c r="CF83" s="149" t="n"/>
      <c r="CG83" s="149" t="n"/>
      <c r="CH83" s="149" t="n"/>
    </row>
    <row r="84">
      <c r="A84" s="71" t="n">
        <v>81</v>
      </c>
      <c r="B84" s="137" t="inlineStr">
        <is>
          <t>น.ส.</t>
        </is>
      </c>
      <c r="C84" s="216" t="inlineStr">
        <is>
          <t>กาญจนา</t>
        </is>
      </c>
      <c r="D84" s="14" t="inlineStr">
        <is>
          <t>จุ้ยเปี่ยม</t>
        </is>
      </c>
      <c r="E84" s="69" t="n"/>
      <c r="F84" s="71" t="n"/>
      <c r="G84" s="71" t="n"/>
      <c r="H84" s="71" t="n"/>
      <c r="I84" s="71" t="n"/>
      <c r="J84" s="273" t="n"/>
      <c r="K84" s="69" t="n"/>
      <c r="L84" s="71" t="n"/>
      <c r="M84" s="71" t="n"/>
      <c r="N84" s="71" t="n"/>
      <c r="O84" s="71" t="n"/>
      <c r="P84" s="273" t="n"/>
      <c r="Q84" s="69" t="n"/>
      <c r="R84" s="71" t="n"/>
      <c r="S84" s="71" t="n"/>
      <c r="T84" s="71" t="n"/>
      <c r="U84" s="71" t="n"/>
      <c r="V84" s="273" t="n"/>
      <c r="W84" s="69" t="n"/>
      <c r="X84" s="71" t="n"/>
      <c r="Y84" s="71" t="n"/>
      <c r="Z84" s="71" t="n"/>
      <c r="AA84" s="71" t="n"/>
      <c r="AB84" s="273" t="n"/>
      <c r="AC84" s="69" t="n"/>
      <c r="AD84" s="71" t="n"/>
      <c r="AE84" s="71" t="n"/>
      <c r="AF84" s="71" t="n"/>
      <c r="AG84" s="71" t="n"/>
      <c r="AH84" s="273" t="n"/>
      <c r="AI84" s="69" t="n"/>
      <c r="AJ84" s="71" t="n"/>
      <c r="AK84" s="71" t="n"/>
      <c r="AL84" s="71" t="n"/>
      <c r="AM84" s="71" t="n"/>
      <c r="AN84" s="273" t="n"/>
      <c r="AO84" s="69" t="n"/>
      <c r="AP84" s="71" t="n"/>
      <c r="AQ84" s="71" t="n"/>
      <c r="AR84" s="71" t="n"/>
      <c r="AS84" s="71" t="n"/>
      <c r="AT84" s="273" t="n"/>
      <c r="AU84" s="69" t="n"/>
      <c r="AV84" s="71" t="n">
        <v>2</v>
      </c>
      <c r="AW84" s="71" t="n"/>
      <c r="AX84" s="71" t="n"/>
      <c r="AY84" s="71" t="n"/>
      <c r="AZ84" s="273" t="n"/>
      <c r="BA84" s="69" t="n"/>
      <c r="BB84" s="71" t="n">
        <v>1</v>
      </c>
      <c r="BC84" s="71" t="n"/>
      <c r="BD84" s="71" t="n"/>
      <c r="BE84" s="71" t="n"/>
      <c r="BF84" s="273" t="n"/>
      <c r="BG84" s="69" t="n"/>
      <c r="BH84" s="71" t="n"/>
      <c r="BI84" s="71" t="n"/>
      <c r="BJ84" s="71" t="n"/>
      <c r="BK84" s="71" t="n"/>
      <c r="BL84" s="273" t="n"/>
      <c r="BM84" s="69" t="n"/>
      <c r="BN84" s="71" t="n">
        <v>1</v>
      </c>
      <c r="BO84" s="71" t="n"/>
      <c r="BP84" s="71" t="n"/>
      <c r="BQ84" s="71" t="n"/>
      <c r="BR84" s="273" t="n"/>
      <c r="BS84" s="69" t="n"/>
      <c r="BT84" s="71" t="n"/>
      <c r="BU84" s="71" t="n"/>
      <c r="BV84" s="71" t="n"/>
      <c r="BW84" s="71" t="n"/>
      <c r="BX84" s="273" t="n"/>
      <c r="BZ84" s="274">
        <f>+E85+K85+Q85+W85+AC85+AI85+AO85+AU85+BA85+BG85+BM85+BS85</f>
        <v/>
      </c>
      <c r="CA84" s="275">
        <f>+F85+L85+R85+X85+AD85+AJ85+AP85+AV85+BB85+BH85+BN85+BT85</f>
        <v/>
      </c>
      <c r="CB84" s="275">
        <f>+G85+M85+S85+Y85+AE85+AK85+AQ85+AW85+BC85+BI85+BO85+BU85</f>
        <v/>
      </c>
      <c r="CC84" s="275">
        <f>+H85+N85+T85+Z85+AF85+AL85+AR85+AX85+BD85+BJ85+BP85+BV85</f>
        <v/>
      </c>
      <c r="CD84" s="276">
        <f>+I85+O85+U85+AA85+AG85+AM85+AS85+AY85+BE85+BK85+BQ85+BW85</f>
        <v/>
      </c>
      <c r="CE84" s="142">
        <f>+J85+P85+V85+AB85+AH85+AN85+AT85+AZ85+BF85+BL85+BR85+BX85</f>
        <v/>
      </c>
      <c r="CF84" s="149" t="n"/>
      <c r="CG84" s="149" t="n"/>
      <c r="CH84" s="149" t="n"/>
    </row>
    <row r="85">
      <c r="A85" s="71" t="n">
        <v>82</v>
      </c>
      <c r="B85" s="137" t="inlineStr">
        <is>
          <t>นาง</t>
        </is>
      </c>
      <c r="C85" s="74" t="inlineStr">
        <is>
          <t>นิรัตน์</t>
        </is>
      </c>
      <c r="D85" s="14" t="inlineStr">
        <is>
          <t>หิรัญวงษ์</t>
        </is>
      </c>
      <c r="E85" s="69" t="n"/>
      <c r="F85" s="71" t="n"/>
      <c r="G85" s="71" t="n"/>
      <c r="H85" s="71" t="n"/>
      <c r="I85" s="71" t="n"/>
      <c r="J85" s="273" t="n"/>
      <c r="K85" s="69" t="n"/>
      <c r="L85" s="71" t="n"/>
      <c r="M85" s="71" t="n"/>
      <c r="N85" s="71" t="n"/>
      <c r="O85" s="71" t="n"/>
      <c r="P85" s="273" t="n"/>
      <c r="Q85" s="69" t="n"/>
      <c r="R85" s="71" t="n"/>
      <c r="S85" s="71" t="n"/>
      <c r="T85" s="71" t="n"/>
      <c r="U85" s="71" t="n"/>
      <c r="V85" s="273" t="n"/>
      <c r="W85" s="95" t="n"/>
      <c r="X85" s="71" t="n"/>
      <c r="Y85" s="71" t="n"/>
      <c r="Z85" s="71" t="n"/>
      <c r="AA85" s="71" t="n"/>
      <c r="AB85" s="273" t="n"/>
      <c r="AC85" s="95" t="n"/>
      <c r="AD85" s="71" t="n"/>
      <c r="AE85" s="71" t="n"/>
      <c r="AF85" s="71" t="n"/>
      <c r="AG85" s="71" t="n"/>
      <c r="AH85" s="273" t="n"/>
      <c r="AI85" s="95" t="n"/>
      <c r="AJ85" s="71" t="n"/>
      <c r="AK85" s="71" t="n"/>
      <c r="AL85" s="71" t="n"/>
      <c r="AM85" s="71" t="n"/>
      <c r="AN85" s="273" t="n"/>
      <c r="AO85" s="69" t="n"/>
      <c r="AP85" s="71" t="n"/>
      <c r="AQ85" s="71" t="n"/>
      <c r="AR85" s="71" t="n"/>
      <c r="AS85" s="71" t="n"/>
      <c r="AT85" s="273" t="n"/>
      <c r="AU85" s="69" t="n"/>
      <c r="AV85" s="71" t="n"/>
      <c r="AW85" s="71" t="n"/>
      <c r="AX85" s="71" t="n"/>
      <c r="AY85" s="71" t="n"/>
      <c r="AZ85" s="273" t="n"/>
      <c r="BA85" s="69" t="n"/>
      <c r="BB85" s="71" t="n"/>
      <c r="BC85" s="71" t="n"/>
      <c r="BD85" s="71" t="n"/>
      <c r="BE85" s="71" t="n"/>
      <c r="BF85" s="273" t="n"/>
      <c r="BG85" s="69" t="n"/>
      <c r="BH85" s="71" t="n">
        <v>2</v>
      </c>
      <c r="BI85" s="71" t="n"/>
      <c r="BJ85" s="71" t="n"/>
      <c r="BK85" s="71" t="n"/>
      <c r="BL85" s="273" t="n"/>
      <c r="BM85" s="69" t="n"/>
      <c r="BN85" s="71" t="n"/>
      <c r="BO85" s="71" t="n"/>
      <c r="BP85" s="71" t="n"/>
      <c r="BQ85" s="71" t="n"/>
      <c r="BR85" s="273" t="n"/>
      <c r="BS85" s="69" t="n"/>
      <c r="BT85" s="71" t="n"/>
      <c r="BU85" s="71" t="n"/>
      <c r="BV85" s="71" t="n"/>
      <c r="BW85" s="71" t="n"/>
      <c r="BX85" s="273" t="n"/>
      <c r="BZ85" s="274">
        <f>+E86+K86+Q86+W86+AC86+AI86+AO86+AU86+BA86+BG86+BM86+BS86</f>
        <v/>
      </c>
      <c r="CA85" s="275">
        <f>+F86+L86+R86+X86+AD86+AJ86+AP86+AV86+BB86+BH86+BN86+BT86</f>
        <v/>
      </c>
      <c r="CB85" s="275">
        <f>+G86+M86+S86+Y86+AE86+AK86+AQ86+AW86+BC86+BI86+BO86+BU86</f>
        <v/>
      </c>
      <c r="CC85" s="275">
        <f>+H86+N86+T86+Z86+AF86+AL86+AR86+AX86+BD86+BJ86+BP86+BV86</f>
        <v/>
      </c>
      <c r="CD85" s="280">
        <f>+I86+O86+U86+AA86+AG86+AM86+AS86+AY86+BE86+BK86+BQ86+BW86</f>
        <v/>
      </c>
      <c r="CE85" s="148">
        <f>+J86+P86+V86+AB86+AH86+AN86+AT86+AZ86+BF86+BL86+BR86+BX86</f>
        <v/>
      </c>
      <c r="CF85" s="149" t="n"/>
      <c r="CG85" s="149" t="n"/>
      <c r="CH85" s="149" t="n"/>
    </row>
    <row r="86">
      <c r="A86" s="71" t="n">
        <v>83</v>
      </c>
      <c r="B86" s="137" t="inlineStr">
        <is>
          <t>น.ส.</t>
        </is>
      </c>
      <c r="C86" s="74" t="inlineStr">
        <is>
          <t>ขวัญใจ</t>
        </is>
      </c>
      <c r="D86" s="14" t="inlineStr">
        <is>
          <t>ขุนทอง</t>
        </is>
      </c>
      <c r="E86" s="69" t="n"/>
      <c r="F86" s="71" t="n"/>
      <c r="G86" s="71" t="n"/>
      <c r="H86" s="71" t="n"/>
      <c r="I86" s="71" t="n"/>
      <c r="J86" s="273" t="n"/>
      <c r="K86" s="69" t="n"/>
      <c r="L86" s="71" t="n"/>
      <c r="M86" s="71" t="n"/>
      <c r="N86" s="71" t="n"/>
      <c r="O86" s="71" t="n"/>
      <c r="P86" s="273" t="n"/>
      <c r="Q86" s="69" t="n"/>
      <c r="R86" s="71" t="n"/>
      <c r="S86" s="71" t="n"/>
      <c r="T86" s="71" t="n"/>
      <c r="U86" s="71" t="n"/>
      <c r="V86" s="273" t="n"/>
      <c r="W86" s="95" t="n"/>
      <c r="X86" s="71" t="n"/>
      <c r="Y86" s="71" t="n"/>
      <c r="Z86" s="71" t="n"/>
      <c r="AA86" s="71" t="n"/>
      <c r="AB86" s="273" t="n"/>
      <c r="AC86" s="95" t="n"/>
      <c r="AD86" s="71" t="n"/>
      <c r="AE86" s="71" t="n"/>
      <c r="AF86" s="71" t="n"/>
      <c r="AG86" s="71" t="n"/>
      <c r="AH86" s="273" t="n"/>
      <c r="AI86" s="95" t="n"/>
      <c r="AJ86" s="71" t="n"/>
      <c r="AK86" s="71" t="n"/>
      <c r="AL86" s="71" t="n"/>
      <c r="AM86" s="71" t="n"/>
      <c r="AN86" s="273" t="n"/>
      <c r="AO86" s="69" t="n"/>
      <c r="AP86" s="71" t="n"/>
      <c r="AQ86" s="71" t="n"/>
      <c r="AR86" s="71" t="n"/>
      <c r="AS86" s="71" t="n"/>
      <c r="AT86" s="273" t="n"/>
      <c r="AU86" s="69" t="n"/>
      <c r="AV86" s="71" t="n"/>
      <c r="AW86" s="71" t="n"/>
      <c r="AX86" s="71" t="n"/>
      <c r="AY86" s="71" t="n"/>
      <c r="AZ86" s="273" t="n"/>
      <c r="BA86" s="69" t="n"/>
      <c r="BB86" s="71" t="n"/>
      <c r="BC86" s="71" t="n"/>
      <c r="BD86" s="71" t="n"/>
      <c r="BE86" s="71" t="n"/>
      <c r="BF86" s="273" t="n"/>
      <c r="BG86" s="69" t="n"/>
      <c r="BH86" s="71" t="n"/>
      <c r="BI86" s="71" t="n"/>
      <c r="BJ86" s="71" t="n"/>
      <c r="BK86" s="71" t="n"/>
      <c r="BL86" s="273" t="n"/>
      <c r="BM86" s="69" t="n"/>
      <c r="BN86" s="71" t="n">
        <v>1</v>
      </c>
      <c r="BO86" s="71" t="n"/>
      <c r="BP86" s="71" t="n"/>
      <c r="BQ86" s="71" t="n"/>
      <c r="BR86" s="273" t="n"/>
      <c r="BS86" s="69" t="n"/>
      <c r="BT86" s="71" t="n"/>
      <c r="BU86" s="71" t="n"/>
      <c r="BV86" s="71" t="n"/>
      <c r="BW86" s="71" t="n"/>
      <c r="BX86" s="273" t="n"/>
      <c r="BZ86" s="274">
        <f>+E87+K87+Q87+W87+AC87+AI87+AO87+AU87+BA87+BG87+BM87+BS87</f>
        <v/>
      </c>
      <c r="CA86" s="275">
        <f>+F87+L87+R87+X87+AD87+AJ87+AP87+AV87+BB87+BH87+BN87+BT87</f>
        <v/>
      </c>
      <c r="CB86" s="275">
        <f>+G87+M87+S87+Y87+AE87+AK87+AQ87+AW87+BC87+BI87+BO87+BU87</f>
        <v/>
      </c>
      <c r="CC86" s="275">
        <f>+H87+N87+T87+Z87+AF87+AL87+AR87+AX87+BD87+BJ87+BP87+BV87</f>
        <v/>
      </c>
      <c r="CD86" s="280">
        <f>+I87+O87+U87+AA87+AG87+AM87+AS87+AY87+BE87+BK87+BQ87+BW87</f>
        <v/>
      </c>
      <c r="CE86" s="148">
        <f>+J87+P87+V87+AB87+AH87+AN87+AT87+AZ87+BF87+BL87+BR87+BX87</f>
        <v/>
      </c>
      <c r="CF86" s="149" t="n"/>
      <c r="CG86" s="149" t="n"/>
      <c r="CH86" s="149" t="n"/>
    </row>
    <row r="87">
      <c r="A87" s="71" t="n">
        <v>84</v>
      </c>
      <c r="B87" s="137" t="inlineStr">
        <is>
          <t>น.ส.</t>
        </is>
      </c>
      <c r="C87" s="74" t="inlineStr">
        <is>
          <t>นพรัตน์</t>
        </is>
      </c>
      <c r="D87" s="14" t="inlineStr">
        <is>
          <t>ธัญญเจริญ</t>
        </is>
      </c>
      <c r="E87" s="69" t="n"/>
      <c r="F87" s="71" t="n"/>
      <c r="G87" s="71" t="n"/>
      <c r="H87" s="71" t="n"/>
      <c r="I87" s="71" t="n"/>
      <c r="J87" s="273" t="n"/>
      <c r="K87" s="69" t="n"/>
      <c r="L87" s="71" t="n"/>
      <c r="M87" s="71" t="n"/>
      <c r="N87" s="71" t="n"/>
      <c r="O87" s="71" t="n"/>
      <c r="P87" s="273" t="n"/>
      <c r="Q87" s="69" t="n"/>
      <c r="R87" s="71" t="n"/>
      <c r="S87" s="71" t="n"/>
      <c r="T87" s="71" t="n"/>
      <c r="U87" s="71" t="n"/>
      <c r="V87" s="273" t="n"/>
      <c r="W87" s="95" t="n"/>
      <c r="X87" s="71" t="n"/>
      <c r="Y87" s="71" t="n"/>
      <c r="Z87" s="71" t="n"/>
      <c r="AA87" s="71" t="n"/>
      <c r="AB87" s="273" t="n"/>
      <c r="AC87" s="95" t="n"/>
      <c r="AD87" s="71" t="n"/>
      <c r="AE87" s="71" t="n"/>
      <c r="AF87" s="71" t="n"/>
      <c r="AG87" s="71" t="n"/>
      <c r="AH87" s="273" t="n"/>
      <c r="AI87" s="95" t="n"/>
      <c r="AJ87" s="71" t="n"/>
      <c r="AK87" s="71" t="n"/>
      <c r="AL87" s="71" t="n"/>
      <c r="AM87" s="71" t="n"/>
      <c r="AN87" s="273" t="n"/>
      <c r="AO87" s="69" t="n"/>
      <c r="AP87" s="71" t="n"/>
      <c r="AQ87" s="71" t="n"/>
      <c r="AR87" s="71" t="n"/>
      <c r="AS87" s="71" t="n"/>
      <c r="AT87" s="273" t="n"/>
      <c r="AU87" s="69" t="n"/>
      <c r="AV87" s="71" t="n"/>
      <c r="AW87" s="71" t="n"/>
      <c r="AX87" s="71" t="n"/>
      <c r="AY87" s="71" t="n"/>
      <c r="AZ87" s="273" t="n"/>
      <c r="BA87" s="69" t="n"/>
      <c r="BB87" s="71" t="n">
        <v>0.5</v>
      </c>
      <c r="BC87" s="71" t="n"/>
      <c r="BD87" s="71" t="n"/>
      <c r="BE87" s="71" t="n"/>
      <c r="BF87" s="273" t="n"/>
      <c r="BG87" s="69" t="n"/>
      <c r="BH87" s="71" t="n">
        <v>1</v>
      </c>
      <c r="BI87" s="71" t="n"/>
      <c r="BJ87" s="71" t="n"/>
      <c r="BK87" s="71" t="n"/>
      <c r="BL87" s="273" t="n"/>
      <c r="BM87" s="69" t="n"/>
      <c r="BN87" s="71" t="n"/>
      <c r="BO87" s="71" t="n"/>
      <c r="BP87" s="71" t="n"/>
      <c r="BQ87" s="71" t="n"/>
      <c r="BR87" s="273" t="n"/>
      <c r="BS87" s="69" t="n"/>
      <c r="BT87" s="71" t="n"/>
      <c r="BU87" s="71" t="n"/>
      <c r="BV87" s="71" t="n"/>
      <c r="BW87" s="71" t="n"/>
      <c r="BX87" s="273" t="n"/>
      <c r="BZ87" s="274">
        <f>+E88+K88+Q88+W88+AC88+AI88+AO88+AU88+BA88+BG88+BM88+BS88</f>
        <v/>
      </c>
      <c r="CA87" s="275">
        <f>+F88+L88+R88+X88+AD88+AJ88+AP88+AV88+BB88+BH88+BN88+BT88</f>
        <v/>
      </c>
      <c r="CB87" s="275">
        <f>+G88+M88+S88+Y88+AE88+AK88+AQ88+AW88+BC88+BI88+BO88+BU88</f>
        <v/>
      </c>
      <c r="CC87" s="275">
        <f>+H88+N88+T88+Z88+AF88+AL88+AR88+AX88+BD88+BJ88+BP88+BV88</f>
        <v/>
      </c>
      <c r="CD87" s="280">
        <f>+I88+O88+U88+AA88+AG88+AM88+AS88+AY88+BE88+BK88+BQ88+BW88</f>
        <v/>
      </c>
      <c r="CE87" s="148">
        <f>+J88+P88+V88+AB88+AH88+AN88+AT88+AZ88+BF88+BL88+BR88+BX88</f>
        <v/>
      </c>
      <c r="CF87" s="149" t="n"/>
      <c r="CG87" s="149" t="n"/>
      <c r="CH87" s="149" t="n"/>
    </row>
    <row r="88">
      <c r="A88" s="71" t="n">
        <v>85</v>
      </c>
      <c r="B88" s="137" t="inlineStr">
        <is>
          <t>น.ส.</t>
        </is>
      </c>
      <c r="C88" s="74" t="inlineStr">
        <is>
          <t>ธมลวรรณ</t>
        </is>
      </c>
      <c r="D88" s="14" t="inlineStr">
        <is>
          <t>กระแหน่</t>
        </is>
      </c>
      <c r="E88" s="69" t="n"/>
      <c r="F88" s="71" t="n"/>
      <c r="G88" s="71" t="n"/>
      <c r="H88" s="71" t="n"/>
      <c r="I88" s="71" t="n"/>
      <c r="J88" s="273" t="n"/>
      <c r="K88" s="69" t="n"/>
      <c r="L88" s="71" t="n"/>
      <c r="M88" s="71" t="n"/>
      <c r="N88" s="71" t="n"/>
      <c r="O88" s="71" t="n"/>
      <c r="P88" s="273" t="n"/>
      <c r="Q88" s="69" t="n"/>
      <c r="R88" s="71" t="n"/>
      <c r="S88" s="71" t="n"/>
      <c r="T88" s="71" t="n"/>
      <c r="U88" s="71" t="n"/>
      <c r="V88" s="273" t="n"/>
      <c r="W88" s="95" t="n"/>
      <c r="X88" s="71" t="n"/>
      <c r="Y88" s="71" t="n"/>
      <c r="Z88" s="71" t="n"/>
      <c r="AA88" s="71" t="n"/>
      <c r="AB88" s="273" t="n"/>
      <c r="AC88" s="95" t="n"/>
      <c r="AD88" s="71" t="n"/>
      <c r="AE88" s="71" t="n"/>
      <c r="AF88" s="71" t="n"/>
      <c r="AG88" s="71" t="n"/>
      <c r="AH88" s="273" t="n"/>
      <c r="AI88" s="95" t="n"/>
      <c r="AJ88" s="71" t="n"/>
      <c r="AK88" s="71" t="n"/>
      <c r="AL88" s="71" t="n"/>
      <c r="AM88" s="71" t="n"/>
      <c r="AN88" s="273" t="n"/>
      <c r="AO88" s="69" t="n"/>
      <c r="AP88" s="71" t="n"/>
      <c r="AQ88" s="71" t="n"/>
      <c r="AR88" s="71" t="n"/>
      <c r="AS88" s="71" t="n"/>
      <c r="AT88" s="273" t="n"/>
      <c r="AU88" s="69" t="n"/>
      <c r="AV88" s="71" t="n"/>
      <c r="AW88" s="71" t="n"/>
      <c r="AX88" s="71" t="n"/>
      <c r="AY88" s="71" t="n"/>
      <c r="AZ88" s="273" t="n"/>
      <c r="BA88" s="69" t="n"/>
      <c r="BB88" s="71" t="n"/>
      <c r="BC88" s="71" t="n"/>
      <c r="BD88" s="71" t="n">
        <v>1</v>
      </c>
      <c r="BE88" s="71" t="n"/>
      <c r="BF88" s="273" t="n"/>
      <c r="BG88" s="69" t="n"/>
      <c r="BH88" s="71" t="n">
        <v>2</v>
      </c>
      <c r="BI88" s="71" t="n"/>
      <c r="BJ88" s="71" t="n"/>
      <c r="BK88" s="71" t="n"/>
      <c r="BL88" s="273" t="n"/>
      <c r="BM88" s="69" t="n"/>
      <c r="BN88" s="71" t="n">
        <v>1</v>
      </c>
      <c r="BO88" s="71" t="n"/>
      <c r="BP88" s="71" t="n"/>
      <c r="BQ88" s="71" t="n"/>
      <c r="BR88" s="273" t="n"/>
      <c r="BS88" s="69" t="n"/>
      <c r="BT88" s="71" t="n"/>
      <c r="BU88" s="71" t="n"/>
      <c r="BV88" s="71" t="n"/>
      <c r="BW88" s="71" t="n"/>
      <c r="BX88" s="273" t="n"/>
      <c r="BZ88" s="274">
        <f>+E89+K89+Q89+W89+AC89+AI89+AO89+AU89+BA89+BG89+BM89+BS89</f>
        <v/>
      </c>
      <c r="CA88" s="275">
        <f>+F89+L89+R89+X89+AD89+AJ89+AP89+AV89+BB89+BH89+BN89+BT89</f>
        <v/>
      </c>
      <c r="CB88" s="275">
        <f>+G89+M89+S89+Y89+AE89+AK89+AQ89+AW89+BC89+BI89+BO89+BU89</f>
        <v/>
      </c>
      <c r="CC88" s="275">
        <f>+H89+N89+T89+Z89+AF89+AL89+AR89+AX89+BD89+BJ89+BP89+BV89</f>
        <v/>
      </c>
      <c r="CD88" s="280">
        <f>+I89+O89+U89+AA89+AG89+AM89+AS89+AY89+BE89+BK89+BQ89+BW89</f>
        <v/>
      </c>
      <c r="CE88" s="148">
        <f>+J89+P89+V89+AB89+AH89+AN89+AT89+AZ89+BF89+BL89+BR89+BX89</f>
        <v/>
      </c>
      <c r="CF88" s="149" t="n"/>
      <c r="CG88" s="149" t="n"/>
      <c r="CH88" s="149" t="n"/>
    </row>
    <row r="89">
      <c r="A89" s="71" t="n">
        <v>86</v>
      </c>
      <c r="B89" s="137" t="inlineStr">
        <is>
          <t>น.ส.</t>
        </is>
      </c>
      <c r="C89" s="74" t="inlineStr">
        <is>
          <t>ขวัญจิรา</t>
        </is>
      </c>
      <c r="D89" s="14" t="inlineStr">
        <is>
          <t>ใจวกุล</t>
        </is>
      </c>
      <c r="E89" s="69" t="n"/>
      <c r="F89" s="71" t="n"/>
      <c r="G89" s="71" t="n"/>
      <c r="H89" s="71" t="n"/>
      <c r="I89" s="71" t="n"/>
      <c r="J89" s="273" t="n"/>
      <c r="K89" s="69" t="n"/>
      <c r="L89" s="71" t="n"/>
      <c r="M89" s="71" t="n"/>
      <c r="N89" s="71" t="n"/>
      <c r="O89" s="71" t="n"/>
      <c r="P89" s="273" t="n"/>
      <c r="Q89" s="69" t="n"/>
      <c r="R89" s="71" t="n"/>
      <c r="S89" s="71" t="n"/>
      <c r="T89" s="71" t="n"/>
      <c r="U89" s="71" t="n"/>
      <c r="V89" s="273" t="n"/>
      <c r="W89" s="95" t="n"/>
      <c r="X89" s="71" t="n"/>
      <c r="Y89" s="71" t="n"/>
      <c r="Z89" s="71" t="n"/>
      <c r="AA89" s="71" t="n"/>
      <c r="AB89" s="273" t="n"/>
      <c r="AC89" s="95" t="n"/>
      <c r="AD89" s="71" t="n"/>
      <c r="AE89" s="71" t="n"/>
      <c r="AF89" s="71" t="n"/>
      <c r="AG89" s="71" t="n"/>
      <c r="AH89" s="273" t="n"/>
      <c r="AI89" s="95" t="n"/>
      <c r="AJ89" s="71" t="n"/>
      <c r="AK89" s="71" t="n"/>
      <c r="AL89" s="71" t="n"/>
      <c r="AM89" s="71" t="n"/>
      <c r="AN89" s="273" t="n"/>
      <c r="AO89" s="69" t="n"/>
      <c r="AP89" s="71" t="n"/>
      <c r="AQ89" s="71" t="n"/>
      <c r="AR89" s="71" t="n"/>
      <c r="AS89" s="71" t="n"/>
      <c r="AT89" s="273" t="n"/>
      <c r="AU89" s="69" t="n"/>
      <c r="AV89" s="71" t="n"/>
      <c r="AW89" s="71" t="n"/>
      <c r="AX89" s="71" t="n"/>
      <c r="AY89" s="71" t="n"/>
      <c r="AZ89" s="273" t="n"/>
      <c r="BA89" s="69" t="n"/>
      <c r="BB89" s="71" t="n"/>
      <c r="BC89" s="71" t="n"/>
      <c r="BD89" s="71" t="n"/>
      <c r="BE89" s="71" t="n"/>
      <c r="BF89" s="273" t="n"/>
      <c r="BG89" s="69" t="n"/>
      <c r="BH89" s="71" t="n">
        <v>1</v>
      </c>
      <c r="BI89" s="71" t="n"/>
      <c r="BJ89" s="71" t="n"/>
      <c r="BK89" s="71" t="n"/>
      <c r="BL89" s="273" t="n"/>
      <c r="BM89" s="69" t="n"/>
      <c r="BN89" s="71" t="n">
        <v>1</v>
      </c>
      <c r="BO89" s="71" t="n"/>
      <c r="BP89" s="71" t="n"/>
      <c r="BQ89" s="71" t="n"/>
      <c r="BR89" s="273" t="n"/>
      <c r="BS89" s="69" t="n"/>
      <c r="BT89" s="71" t="n"/>
      <c r="BU89" s="71" t="n"/>
      <c r="BV89" s="71" t="n"/>
      <c r="BW89" s="71" t="n"/>
      <c r="BX89" s="273" t="n"/>
      <c r="BZ89" s="274">
        <f>+E90+K90+Q90+W90+AC90+AI90+AO90+AU90+BA90+BG90+BM90+BS90</f>
        <v/>
      </c>
      <c r="CA89" s="275">
        <f>+F90+L90+R90+X90+AD90+AJ90+AP90+AV90+BB90+BH90+BN90+BT90</f>
        <v/>
      </c>
      <c r="CB89" s="275">
        <f>+G90+M90+S90+Y90+AE90+AK90+AQ90+AW90+BC90+BI90+BO90+BU90</f>
        <v/>
      </c>
      <c r="CC89" s="275">
        <f>+H90+N90+T90+Z90+AF90+AL90+AR90+AX90+BD90+BJ90+BP90+BV90</f>
        <v/>
      </c>
      <c r="CD89" s="280">
        <f>+I90+O90+U90+AA90+AG90+AM90+AS90+AY90+BE90+BK90+BQ90+BW90</f>
        <v/>
      </c>
      <c r="CE89" s="148">
        <f>+J90+P90+V90+AB90+AH90+AN90+AT90+AZ90+BF90+BL90+BR90+BX90</f>
        <v/>
      </c>
      <c r="CF89" s="149" t="n"/>
      <c r="CG89" s="149" t="n"/>
      <c r="CH89" s="149" t="n"/>
    </row>
    <row r="90">
      <c r="A90" s="71" t="n">
        <v>87</v>
      </c>
      <c r="B90" s="241" t="inlineStr">
        <is>
          <t>น.ส.</t>
        </is>
      </c>
      <c r="C90" s="241" t="inlineStr">
        <is>
          <t>ชิติมา</t>
        </is>
      </c>
      <c r="D90" s="15" t="inlineStr">
        <is>
          <t>กตัญญู</t>
        </is>
      </c>
      <c r="E90" s="69" t="n"/>
      <c r="F90" s="71" t="n"/>
      <c r="G90" s="71" t="n"/>
      <c r="H90" s="71" t="n"/>
      <c r="I90" s="71" t="n"/>
      <c r="J90" s="273" t="n"/>
      <c r="K90" s="69" t="n"/>
      <c r="L90" s="71" t="n"/>
      <c r="M90" s="71" t="n"/>
      <c r="N90" s="71" t="n"/>
      <c r="O90" s="71" t="n"/>
      <c r="P90" s="273" t="n"/>
      <c r="Q90" s="69" t="n"/>
      <c r="R90" s="71" t="n"/>
      <c r="S90" s="71" t="n"/>
      <c r="T90" s="71" t="n"/>
      <c r="U90" s="71" t="n"/>
      <c r="V90" s="273" t="n"/>
      <c r="W90" s="95" t="n"/>
      <c r="X90" s="71" t="n"/>
      <c r="Y90" s="71" t="n"/>
      <c r="Z90" s="71" t="n"/>
      <c r="AA90" s="71" t="n"/>
      <c r="AB90" s="273" t="n"/>
      <c r="AC90" s="95" t="n"/>
      <c r="AD90" s="71" t="n"/>
      <c r="AE90" s="71" t="n"/>
      <c r="AF90" s="71" t="n"/>
      <c r="AG90" s="71" t="n"/>
      <c r="AH90" s="273" t="n"/>
      <c r="AI90" s="95" t="n"/>
      <c r="AJ90" s="71" t="n"/>
      <c r="AK90" s="71" t="n"/>
      <c r="AL90" s="71" t="n"/>
      <c r="AM90" s="71" t="n"/>
      <c r="AN90" s="273" t="n"/>
      <c r="AO90" s="69" t="n"/>
      <c r="AP90" s="71" t="n"/>
      <c r="AQ90" s="71" t="n"/>
      <c r="AR90" s="71" t="n"/>
      <c r="AS90" s="71" t="n"/>
      <c r="AT90" s="273" t="n"/>
      <c r="AU90" s="69" t="n"/>
      <c r="AV90" s="71" t="n"/>
      <c r="AW90" s="71" t="n"/>
      <c r="AX90" s="71" t="n"/>
      <c r="AY90" s="71" t="n"/>
      <c r="AZ90" s="273" t="n"/>
      <c r="BA90" s="69" t="n"/>
      <c r="BB90" s="71" t="n"/>
      <c r="BC90" s="71" t="n"/>
      <c r="BD90" s="71" t="n"/>
      <c r="BE90" s="71" t="n"/>
      <c r="BF90" s="273" t="n"/>
      <c r="BG90" s="69" t="n"/>
      <c r="BH90" s="71" t="n"/>
      <c r="BI90" s="71" t="n"/>
      <c r="BJ90" s="71" t="n"/>
      <c r="BK90" s="71" t="n"/>
      <c r="BL90" s="273" t="n"/>
      <c r="BM90" s="69" t="n"/>
      <c r="BN90" s="71" t="n"/>
      <c r="BO90" s="71" t="n"/>
      <c r="BP90" s="71" t="n"/>
      <c r="BQ90" s="71" t="n"/>
      <c r="BR90" s="273" t="n"/>
      <c r="BS90" s="69" t="n"/>
      <c r="BT90" s="71" t="n"/>
      <c r="BU90" s="71" t="n"/>
      <c r="BV90" s="71" t="n"/>
      <c r="BW90" s="71" t="n"/>
      <c r="BX90" s="273" t="n"/>
      <c r="BZ90" s="282" t="n">
        <v>9.5</v>
      </c>
      <c r="CA90" s="283" t="n">
        <v>6</v>
      </c>
      <c r="CB90" s="283" t="n">
        <v>4</v>
      </c>
      <c r="CC90" s="282">
        <f>+BR118</f>
        <v/>
      </c>
      <c r="CD90" s="283" t="n">
        <v>6</v>
      </c>
      <c r="CE90" s="246" t="n">
        <v>0.01666666666666667</v>
      </c>
      <c r="CF90" s="149" t="n"/>
      <c r="CG90" s="149" t="n"/>
      <c r="CH90" s="149" t="n"/>
    </row>
    <row r="91">
      <c r="A91" s="71" t="n">
        <v>88</v>
      </c>
      <c r="B91" s="241" t="inlineStr">
        <is>
          <t>นาง</t>
        </is>
      </c>
      <c r="C91" s="241" t="inlineStr">
        <is>
          <t>พรพิมล</t>
        </is>
      </c>
      <c r="D91" s="39" t="inlineStr">
        <is>
          <t>มั่นทอง</t>
        </is>
      </c>
      <c r="E91" s="69" t="n"/>
      <c r="F91" s="71" t="n"/>
      <c r="G91" s="71" t="n"/>
      <c r="H91" s="71" t="n"/>
      <c r="I91" s="71" t="n"/>
      <c r="J91" s="273" t="n"/>
      <c r="K91" s="69" t="n"/>
      <c r="L91" s="71" t="n"/>
      <c r="M91" s="71" t="n"/>
      <c r="N91" s="71" t="n"/>
      <c r="O91" s="71" t="n"/>
      <c r="P91" s="273" t="n"/>
      <c r="Q91" s="69" t="n"/>
      <c r="R91" s="71" t="n"/>
      <c r="S91" s="71" t="n"/>
      <c r="T91" s="71" t="n"/>
      <c r="U91" s="71" t="n"/>
      <c r="V91" s="273" t="n"/>
      <c r="W91" s="95" t="n"/>
      <c r="X91" s="71" t="n"/>
      <c r="Y91" s="71" t="n"/>
      <c r="Z91" s="71" t="n"/>
      <c r="AA91" s="71" t="n"/>
      <c r="AB91" s="273" t="n"/>
      <c r="AC91" s="95" t="n"/>
      <c r="AD91" s="71" t="n"/>
      <c r="AE91" s="71" t="n"/>
      <c r="AF91" s="71" t="n"/>
      <c r="AG91" s="71" t="n"/>
      <c r="AH91" s="273" t="n"/>
      <c r="AI91" s="95" t="n"/>
      <c r="AJ91" s="71" t="n"/>
      <c r="AK91" s="71" t="n"/>
      <c r="AL91" s="71" t="n"/>
      <c r="AM91" s="71" t="n"/>
      <c r="AN91" s="273" t="n"/>
      <c r="AO91" s="69" t="n"/>
      <c r="AP91" s="71" t="n"/>
      <c r="AQ91" s="71" t="n"/>
      <c r="AR91" s="71" t="n"/>
      <c r="AS91" s="71" t="n"/>
      <c r="AT91" s="273" t="n"/>
      <c r="AU91" s="69" t="n"/>
      <c r="AV91" s="71" t="n"/>
      <c r="AW91" s="71" t="n"/>
      <c r="AX91" s="71" t="n"/>
      <c r="AY91" s="71" t="n"/>
      <c r="AZ91" s="273" t="n"/>
      <c r="BA91" s="69" t="n"/>
      <c r="BB91" s="71" t="n"/>
      <c r="BC91" s="71" t="n"/>
      <c r="BD91" s="71" t="n"/>
      <c r="BE91" s="71" t="n"/>
      <c r="BF91" s="273" t="n"/>
      <c r="BG91" s="69" t="n"/>
      <c r="BH91" s="71" t="n"/>
      <c r="BI91" s="71" t="n"/>
      <c r="BJ91" s="71" t="n"/>
      <c r="BK91" s="71" t="n"/>
      <c r="BL91" s="273" t="n"/>
      <c r="BM91" s="69" t="n"/>
      <c r="BN91" s="71" t="n"/>
      <c r="BO91" s="71" t="n"/>
      <c r="BP91" s="71" t="n"/>
      <c r="BQ91" s="71" t="n"/>
      <c r="BR91" s="273" t="n"/>
      <c r="BS91" s="69" t="n"/>
      <c r="BT91" s="71" t="n"/>
      <c r="BU91" s="71" t="n"/>
      <c r="BV91" s="71" t="n"/>
      <c r="BW91" s="71" t="n"/>
      <c r="BX91" s="273" t="n"/>
      <c r="BZ91" s="284" t="n">
        <v>6</v>
      </c>
      <c r="CA91" s="283" t="n">
        <v>6</v>
      </c>
      <c r="CB91" s="283" t="n">
        <v>3</v>
      </c>
      <c r="CC91" s="284">
        <f>+BR133</f>
        <v/>
      </c>
      <c r="CD91" s="283" t="n">
        <v>6</v>
      </c>
      <c r="CE91" s="246" t="n">
        <v>0.01597222222222222</v>
      </c>
      <c r="CF91" s="149" t="n"/>
      <c r="CG91" s="149" t="n"/>
      <c r="CH91" s="149" t="n"/>
    </row>
    <row r="92">
      <c r="A92" s="71" t="n">
        <v>89</v>
      </c>
      <c r="B92" s="241" t="inlineStr">
        <is>
          <t>น.ส.</t>
        </is>
      </c>
      <c r="C92" s="241" t="inlineStr">
        <is>
          <t>แสงงาม</t>
        </is>
      </c>
      <c r="D92" s="15" t="inlineStr">
        <is>
          <t>สะราคำ</t>
        </is>
      </c>
      <c r="E92" s="69" t="n"/>
      <c r="F92" s="71" t="n"/>
      <c r="G92" s="71" t="n"/>
      <c r="H92" s="71" t="n"/>
      <c r="I92" s="71" t="n"/>
      <c r="J92" s="273" t="n"/>
      <c r="K92" s="69" t="n"/>
      <c r="L92" s="71" t="n"/>
      <c r="M92" s="71" t="n"/>
      <c r="N92" s="71" t="n"/>
      <c r="O92" s="71" t="n"/>
      <c r="P92" s="273" t="n"/>
      <c r="Q92" s="69" t="n"/>
      <c r="R92" s="71" t="n"/>
      <c r="S92" s="71" t="n"/>
      <c r="T92" s="71" t="n"/>
      <c r="U92" s="71" t="n"/>
      <c r="V92" s="273" t="n"/>
      <c r="W92" s="95" t="n"/>
      <c r="X92" s="71" t="n"/>
      <c r="Y92" s="71" t="n"/>
      <c r="Z92" s="71" t="n"/>
      <c r="AA92" s="71" t="n"/>
      <c r="AB92" s="273" t="n"/>
      <c r="AC92" s="95" t="n"/>
      <c r="AD92" s="71" t="n"/>
      <c r="AE92" s="71" t="n"/>
      <c r="AF92" s="71" t="n"/>
      <c r="AG92" s="71" t="n"/>
      <c r="AH92" s="273" t="n"/>
      <c r="AI92" s="95" t="n"/>
      <c r="AJ92" s="71" t="n"/>
      <c r="AK92" s="71" t="n"/>
      <c r="AL92" s="71" t="n"/>
      <c r="AM92" s="71" t="n"/>
      <c r="AN92" s="273" t="n"/>
      <c r="AO92" s="69" t="n"/>
      <c r="AP92" s="71" t="n"/>
      <c r="AQ92" s="71" t="n"/>
      <c r="AR92" s="71" t="n"/>
      <c r="AS92" s="71" t="n"/>
      <c r="AT92" s="273" t="n"/>
      <c r="AU92" s="69" t="n"/>
      <c r="AV92" s="71" t="n"/>
      <c r="AW92" s="71" t="n"/>
      <c r="AX92" s="71" t="n"/>
      <c r="AY92" s="71" t="n"/>
      <c r="AZ92" s="273" t="n"/>
      <c r="BA92" s="69" t="n"/>
      <c r="BB92" s="71" t="n"/>
      <c r="BC92" s="71" t="n"/>
      <c r="BD92" s="71" t="n"/>
      <c r="BE92" s="71" t="n"/>
      <c r="BF92" s="273" t="n"/>
      <c r="BG92" s="69" t="n"/>
      <c r="BH92" s="71" t="n"/>
      <c r="BI92" s="71" t="n"/>
      <c r="BJ92" s="71" t="n"/>
      <c r="BK92" s="71" t="n"/>
      <c r="BL92" s="273" t="n"/>
      <c r="BM92" s="69" t="n"/>
      <c r="BN92" s="71" t="n"/>
      <c r="BO92" s="71" t="n"/>
      <c r="BP92" s="71" t="n"/>
      <c r="BQ92" s="71" t="n"/>
      <c r="BR92" s="273" t="n"/>
      <c r="BS92" s="69" t="n"/>
      <c r="BT92" s="71" t="n"/>
      <c r="BU92" s="71" t="n"/>
      <c r="BV92" s="71" t="n"/>
      <c r="BW92" s="71" t="n"/>
      <c r="BX92" s="273" t="n"/>
      <c r="BZ92" s="285" t="n">
        <v>3</v>
      </c>
      <c r="CA92" s="283" t="n">
        <v>6</v>
      </c>
      <c r="CB92" s="283" t="n">
        <v>6.5</v>
      </c>
      <c r="CC92" s="285">
        <f>+BR103</f>
        <v/>
      </c>
      <c r="CD92" s="283" t="n">
        <v>6</v>
      </c>
      <c r="CE92" s="246" t="n">
        <v>0.01666666666666667</v>
      </c>
      <c r="CF92" s="149" t="n"/>
      <c r="CG92" s="149" t="n"/>
      <c r="CH92" s="149" t="n"/>
    </row>
    <row r="93">
      <c r="CF93" s="149" t="n"/>
      <c r="CG93" s="149" t="n"/>
      <c r="CH93" s="149" t="n"/>
    </row>
    <row r="94">
      <c r="CF94" s="149" t="n"/>
      <c r="CG94" s="149" t="n"/>
      <c r="CH94" s="149" t="n"/>
    </row>
    <row r="95">
      <c r="CF95" s="149" t="n"/>
      <c r="CG95" s="149" t="n"/>
      <c r="CH95" s="149" t="n"/>
    </row>
    <row r="96">
      <c r="CF96" s="149" t="n"/>
      <c r="CG96" s="149" t="n"/>
      <c r="CH96" s="149" t="n"/>
    </row>
    <row r="97">
      <c r="CF97" s="149" t="n"/>
      <c r="CG97" s="149" t="n"/>
      <c r="CH97" s="149" t="n"/>
    </row>
    <row r="98">
      <c r="CF98" s="149" t="n"/>
      <c r="CG98" s="149" t="n"/>
      <c r="CH98" s="149" t="n"/>
    </row>
    <row r="99">
      <c r="CF99" s="149" t="n"/>
      <c r="CG99" s="149" t="n"/>
      <c r="CH99" s="149" t="n"/>
    </row>
  </sheetData>
  <mergeCells count="14">
    <mergeCell ref="AO3:AT3"/>
    <mergeCell ref="BG3:BL3"/>
    <mergeCell ref="BS3:BX3"/>
    <mergeCell ref="AI3:AN3"/>
    <mergeCell ref="AU3:AZ3"/>
    <mergeCell ref="BZ3:CE3"/>
    <mergeCell ref="BM3:BR3"/>
    <mergeCell ref="B4:C4"/>
    <mergeCell ref="W3:AB3"/>
    <mergeCell ref="K3:P3"/>
    <mergeCell ref="AC3:AH3"/>
    <mergeCell ref="E3:J3"/>
    <mergeCell ref="BA3:BF3"/>
    <mergeCell ref="Q3:V3"/>
  </mergeCells>
  <conditionalFormatting sqref="CD1:CD3 CD5:CD93 CD95:CD65536">
    <cfRule type="cellIs" priority="2" operator="greaterThan" dxfId="0" stopIfTrue="1">
      <formula>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R45"/>
  <sheetViews>
    <sheetView workbookViewId="0">
      <selection activeCell="F6" sqref="F6"/>
    </sheetView>
  </sheetViews>
  <sheetFormatPr baseColWidth="8" defaultColWidth="7.453125" defaultRowHeight="20"/>
  <cols>
    <col width="9.36328125" customWidth="1" style="286" min="1" max="1"/>
    <col width="7.453125" customWidth="1" style="287" min="2" max="6"/>
    <col width="9.08984375" customWidth="1" style="287" min="7" max="7"/>
    <col width="7.453125" customWidth="1" style="1" min="8" max="12"/>
    <col width="8.7265625" customWidth="1" style="287" min="13" max="18"/>
    <col width="7.453125" customWidth="1" style="1" min="19" max="256"/>
    <col width="8.7265625" bestFit="1" customWidth="1" style="1" min="257" max="257"/>
    <col width="7.453125" customWidth="1" style="1" min="258" max="262"/>
    <col width="9.08984375" customWidth="1" style="1" min="263" max="263"/>
    <col width="7.453125" customWidth="1" style="1" min="264" max="268"/>
    <col width="8.7265625" customWidth="1" style="1" min="269" max="274"/>
    <col width="7.453125" customWidth="1" style="1" min="275" max="512"/>
    <col width="8.7265625" bestFit="1" customWidth="1" style="1" min="513" max="513"/>
    <col width="7.453125" customWidth="1" style="1" min="514" max="518"/>
    <col width="9.08984375" customWidth="1" style="1" min="519" max="519"/>
    <col width="7.453125" customWidth="1" style="1" min="520" max="524"/>
    <col width="8.7265625" customWidth="1" style="1" min="525" max="530"/>
    <col width="7.453125" customWidth="1" style="1" min="531" max="768"/>
    <col width="8.7265625" bestFit="1" customWidth="1" style="1" min="769" max="769"/>
    <col width="7.453125" customWidth="1" style="1" min="770" max="774"/>
    <col width="9.08984375" customWidth="1" style="1" min="775" max="775"/>
    <col width="7.453125" customWidth="1" style="1" min="776" max="780"/>
    <col width="8.7265625" customWidth="1" style="1" min="781" max="786"/>
    <col width="7.453125" customWidth="1" style="1" min="787" max="1024"/>
    <col width="8.7265625" bestFit="1" customWidth="1" style="1" min="1025" max="1025"/>
    <col width="7.453125" customWidth="1" style="1" min="1026" max="1030"/>
    <col width="9.08984375" customWidth="1" style="1" min="1031" max="1031"/>
    <col width="7.453125" customWidth="1" style="1" min="1032" max="1036"/>
    <col width="8.7265625" customWidth="1" style="1" min="1037" max="1042"/>
    <col width="7.453125" customWidth="1" style="1" min="1043" max="1280"/>
    <col width="8.7265625" bestFit="1" customWidth="1" style="1" min="1281" max="1281"/>
    <col width="7.453125" customWidth="1" style="1" min="1282" max="1286"/>
    <col width="9.08984375" customWidth="1" style="1" min="1287" max="1287"/>
    <col width="7.453125" customWidth="1" style="1" min="1288" max="1292"/>
    <col width="8.7265625" customWidth="1" style="1" min="1293" max="1298"/>
    <col width="7.453125" customWidth="1" style="1" min="1299" max="1536"/>
    <col width="8.7265625" bestFit="1" customWidth="1" style="1" min="1537" max="1537"/>
    <col width="7.453125" customWidth="1" style="1" min="1538" max="1542"/>
    <col width="9.08984375" customWidth="1" style="1" min="1543" max="1543"/>
    <col width="7.453125" customWidth="1" style="1" min="1544" max="1548"/>
    <col width="8.7265625" customWidth="1" style="1" min="1549" max="1554"/>
    <col width="7.453125" customWidth="1" style="1" min="1555" max="1792"/>
    <col width="8.7265625" bestFit="1" customWidth="1" style="1" min="1793" max="1793"/>
    <col width="7.453125" customWidth="1" style="1" min="1794" max="1798"/>
    <col width="9.08984375" customWidth="1" style="1" min="1799" max="1799"/>
    <col width="7.453125" customWidth="1" style="1" min="1800" max="1804"/>
    <col width="8.7265625" customWidth="1" style="1" min="1805" max="1810"/>
    <col width="7.453125" customWidth="1" style="1" min="1811" max="2048"/>
    <col width="8.7265625" bestFit="1" customWidth="1" style="1" min="2049" max="2049"/>
    <col width="7.453125" customWidth="1" style="1" min="2050" max="2054"/>
    <col width="9.08984375" customWidth="1" style="1" min="2055" max="2055"/>
    <col width="7.453125" customWidth="1" style="1" min="2056" max="2060"/>
    <col width="8.7265625" customWidth="1" style="1" min="2061" max="2066"/>
    <col width="7.453125" customWidth="1" style="1" min="2067" max="2304"/>
    <col width="8.7265625" bestFit="1" customWidth="1" style="1" min="2305" max="2305"/>
    <col width="7.453125" customWidth="1" style="1" min="2306" max="2310"/>
    <col width="9.08984375" customWidth="1" style="1" min="2311" max="2311"/>
    <col width="7.453125" customWidth="1" style="1" min="2312" max="2316"/>
    <col width="8.7265625" customWidth="1" style="1" min="2317" max="2322"/>
    <col width="7.453125" customWidth="1" style="1" min="2323" max="2560"/>
    <col width="8.7265625" bestFit="1" customWidth="1" style="1" min="2561" max="2561"/>
    <col width="7.453125" customWidth="1" style="1" min="2562" max="2566"/>
    <col width="9.08984375" customWidth="1" style="1" min="2567" max="2567"/>
    <col width="7.453125" customWidth="1" style="1" min="2568" max="2572"/>
    <col width="8.7265625" customWidth="1" style="1" min="2573" max="2578"/>
    <col width="7.453125" customWidth="1" style="1" min="2579" max="2816"/>
    <col width="8.7265625" bestFit="1" customWidth="1" style="1" min="2817" max="2817"/>
    <col width="7.453125" customWidth="1" style="1" min="2818" max="2822"/>
    <col width="9.08984375" customWidth="1" style="1" min="2823" max="2823"/>
    <col width="7.453125" customWidth="1" style="1" min="2824" max="2828"/>
    <col width="8.7265625" customWidth="1" style="1" min="2829" max="2834"/>
    <col width="7.453125" customWidth="1" style="1" min="2835" max="3072"/>
    <col width="8.7265625" bestFit="1" customWidth="1" style="1" min="3073" max="3073"/>
    <col width="7.453125" customWidth="1" style="1" min="3074" max="3078"/>
    <col width="9.08984375" customWidth="1" style="1" min="3079" max="3079"/>
    <col width="7.453125" customWidth="1" style="1" min="3080" max="3084"/>
    <col width="8.7265625" customWidth="1" style="1" min="3085" max="3090"/>
    <col width="7.453125" customWidth="1" style="1" min="3091" max="3328"/>
    <col width="8.7265625" bestFit="1" customWidth="1" style="1" min="3329" max="3329"/>
    <col width="7.453125" customWidth="1" style="1" min="3330" max="3334"/>
    <col width="9.08984375" customWidth="1" style="1" min="3335" max="3335"/>
    <col width="7.453125" customWidth="1" style="1" min="3336" max="3340"/>
    <col width="8.7265625" customWidth="1" style="1" min="3341" max="3346"/>
    <col width="7.453125" customWidth="1" style="1" min="3347" max="3584"/>
    <col width="8.7265625" bestFit="1" customWidth="1" style="1" min="3585" max="3585"/>
    <col width="7.453125" customWidth="1" style="1" min="3586" max="3590"/>
    <col width="9.08984375" customWidth="1" style="1" min="3591" max="3591"/>
    <col width="7.453125" customWidth="1" style="1" min="3592" max="3596"/>
    <col width="8.7265625" customWidth="1" style="1" min="3597" max="3602"/>
    <col width="7.453125" customWidth="1" style="1" min="3603" max="3840"/>
    <col width="8.7265625" bestFit="1" customWidth="1" style="1" min="3841" max="3841"/>
    <col width="7.453125" customWidth="1" style="1" min="3842" max="3846"/>
    <col width="9.08984375" customWidth="1" style="1" min="3847" max="3847"/>
    <col width="7.453125" customWidth="1" style="1" min="3848" max="3852"/>
    <col width="8.7265625" customWidth="1" style="1" min="3853" max="3858"/>
    <col width="7.453125" customWidth="1" style="1" min="3859" max="4096"/>
    <col width="8.7265625" bestFit="1" customWidth="1" style="1" min="4097" max="4097"/>
    <col width="7.453125" customWidth="1" style="1" min="4098" max="4102"/>
    <col width="9.08984375" customWidth="1" style="1" min="4103" max="4103"/>
    <col width="7.453125" customWidth="1" style="1" min="4104" max="4108"/>
    <col width="8.7265625" customWidth="1" style="1" min="4109" max="4114"/>
    <col width="7.453125" customWidth="1" style="1" min="4115" max="4352"/>
    <col width="8.7265625" bestFit="1" customWidth="1" style="1" min="4353" max="4353"/>
    <col width="7.453125" customWidth="1" style="1" min="4354" max="4358"/>
    <col width="9.08984375" customWidth="1" style="1" min="4359" max="4359"/>
    <col width="7.453125" customWidth="1" style="1" min="4360" max="4364"/>
    <col width="8.7265625" customWidth="1" style="1" min="4365" max="4370"/>
    <col width="7.453125" customWidth="1" style="1" min="4371" max="4608"/>
    <col width="8.7265625" bestFit="1" customWidth="1" style="1" min="4609" max="4609"/>
    <col width="7.453125" customWidth="1" style="1" min="4610" max="4614"/>
    <col width="9.08984375" customWidth="1" style="1" min="4615" max="4615"/>
    <col width="7.453125" customWidth="1" style="1" min="4616" max="4620"/>
    <col width="8.7265625" customWidth="1" style="1" min="4621" max="4626"/>
    <col width="7.453125" customWidth="1" style="1" min="4627" max="4864"/>
    <col width="8.7265625" bestFit="1" customWidth="1" style="1" min="4865" max="4865"/>
    <col width="7.453125" customWidth="1" style="1" min="4866" max="4870"/>
    <col width="9.08984375" customWidth="1" style="1" min="4871" max="4871"/>
    <col width="7.453125" customWidth="1" style="1" min="4872" max="4876"/>
    <col width="8.7265625" customWidth="1" style="1" min="4877" max="4882"/>
    <col width="7.453125" customWidth="1" style="1" min="4883" max="5120"/>
    <col width="8.7265625" bestFit="1" customWidth="1" style="1" min="5121" max="5121"/>
    <col width="7.453125" customWidth="1" style="1" min="5122" max="5126"/>
    <col width="9.08984375" customWidth="1" style="1" min="5127" max="5127"/>
    <col width="7.453125" customWidth="1" style="1" min="5128" max="5132"/>
    <col width="8.7265625" customWidth="1" style="1" min="5133" max="5138"/>
    <col width="7.453125" customWidth="1" style="1" min="5139" max="5376"/>
    <col width="8.7265625" bestFit="1" customWidth="1" style="1" min="5377" max="5377"/>
    <col width="7.453125" customWidth="1" style="1" min="5378" max="5382"/>
    <col width="9.08984375" customWidth="1" style="1" min="5383" max="5383"/>
    <col width="7.453125" customWidth="1" style="1" min="5384" max="5388"/>
    <col width="8.7265625" customWidth="1" style="1" min="5389" max="5394"/>
    <col width="7.453125" customWidth="1" style="1" min="5395" max="5632"/>
    <col width="8.7265625" bestFit="1" customWidth="1" style="1" min="5633" max="5633"/>
    <col width="7.453125" customWidth="1" style="1" min="5634" max="5638"/>
    <col width="9.08984375" customWidth="1" style="1" min="5639" max="5639"/>
    <col width="7.453125" customWidth="1" style="1" min="5640" max="5644"/>
    <col width="8.7265625" customWidth="1" style="1" min="5645" max="5650"/>
    <col width="7.453125" customWidth="1" style="1" min="5651" max="5888"/>
    <col width="8.7265625" bestFit="1" customWidth="1" style="1" min="5889" max="5889"/>
    <col width="7.453125" customWidth="1" style="1" min="5890" max="5894"/>
    <col width="9.08984375" customWidth="1" style="1" min="5895" max="5895"/>
    <col width="7.453125" customWidth="1" style="1" min="5896" max="5900"/>
    <col width="8.7265625" customWidth="1" style="1" min="5901" max="5906"/>
    <col width="7.453125" customWidth="1" style="1" min="5907" max="6144"/>
    <col width="8.7265625" bestFit="1" customWidth="1" style="1" min="6145" max="6145"/>
    <col width="7.453125" customWidth="1" style="1" min="6146" max="6150"/>
    <col width="9.08984375" customWidth="1" style="1" min="6151" max="6151"/>
    <col width="7.453125" customWidth="1" style="1" min="6152" max="6156"/>
    <col width="8.7265625" customWidth="1" style="1" min="6157" max="6162"/>
    <col width="7.453125" customWidth="1" style="1" min="6163" max="6400"/>
    <col width="8.7265625" bestFit="1" customWidth="1" style="1" min="6401" max="6401"/>
    <col width="7.453125" customWidth="1" style="1" min="6402" max="6406"/>
    <col width="9.08984375" customWidth="1" style="1" min="6407" max="6407"/>
    <col width="7.453125" customWidth="1" style="1" min="6408" max="6412"/>
    <col width="8.7265625" customWidth="1" style="1" min="6413" max="6418"/>
    <col width="7.453125" customWidth="1" style="1" min="6419" max="6656"/>
    <col width="8.7265625" bestFit="1" customWidth="1" style="1" min="6657" max="6657"/>
    <col width="7.453125" customWidth="1" style="1" min="6658" max="6662"/>
    <col width="9.08984375" customWidth="1" style="1" min="6663" max="6663"/>
    <col width="7.453125" customWidth="1" style="1" min="6664" max="6668"/>
    <col width="8.7265625" customWidth="1" style="1" min="6669" max="6674"/>
    <col width="7.453125" customWidth="1" style="1" min="6675" max="6912"/>
    <col width="8.7265625" bestFit="1" customWidth="1" style="1" min="6913" max="6913"/>
    <col width="7.453125" customWidth="1" style="1" min="6914" max="6918"/>
    <col width="9.08984375" customWidth="1" style="1" min="6919" max="6919"/>
    <col width="7.453125" customWidth="1" style="1" min="6920" max="6924"/>
    <col width="8.7265625" customWidth="1" style="1" min="6925" max="6930"/>
    <col width="7.453125" customWidth="1" style="1" min="6931" max="7168"/>
    <col width="8.7265625" bestFit="1" customWidth="1" style="1" min="7169" max="7169"/>
    <col width="7.453125" customWidth="1" style="1" min="7170" max="7174"/>
    <col width="9.08984375" customWidth="1" style="1" min="7175" max="7175"/>
    <col width="7.453125" customWidth="1" style="1" min="7176" max="7180"/>
    <col width="8.7265625" customWidth="1" style="1" min="7181" max="7186"/>
    <col width="7.453125" customWidth="1" style="1" min="7187" max="7424"/>
    <col width="8.7265625" bestFit="1" customWidth="1" style="1" min="7425" max="7425"/>
    <col width="7.453125" customWidth="1" style="1" min="7426" max="7430"/>
    <col width="9.08984375" customWidth="1" style="1" min="7431" max="7431"/>
    <col width="7.453125" customWidth="1" style="1" min="7432" max="7436"/>
    <col width="8.7265625" customWidth="1" style="1" min="7437" max="7442"/>
    <col width="7.453125" customWidth="1" style="1" min="7443" max="7680"/>
    <col width="8.7265625" bestFit="1" customWidth="1" style="1" min="7681" max="7681"/>
    <col width="7.453125" customWidth="1" style="1" min="7682" max="7686"/>
    <col width="9.08984375" customWidth="1" style="1" min="7687" max="7687"/>
    <col width="7.453125" customWidth="1" style="1" min="7688" max="7692"/>
    <col width="8.7265625" customWidth="1" style="1" min="7693" max="7698"/>
    <col width="7.453125" customWidth="1" style="1" min="7699" max="7936"/>
    <col width="8.7265625" bestFit="1" customWidth="1" style="1" min="7937" max="7937"/>
    <col width="7.453125" customWidth="1" style="1" min="7938" max="7942"/>
    <col width="9.08984375" customWidth="1" style="1" min="7943" max="7943"/>
    <col width="7.453125" customWidth="1" style="1" min="7944" max="7948"/>
    <col width="8.7265625" customWidth="1" style="1" min="7949" max="7954"/>
    <col width="7.453125" customWidth="1" style="1" min="7955" max="8192"/>
    <col width="8.7265625" bestFit="1" customWidth="1" style="1" min="8193" max="8193"/>
    <col width="7.453125" customWidth="1" style="1" min="8194" max="8198"/>
    <col width="9.08984375" customWidth="1" style="1" min="8199" max="8199"/>
    <col width="7.453125" customWidth="1" style="1" min="8200" max="8204"/>
    <col width="8.7265625" customWidth="1" style="1" min="8205" max="8210"/>
    <col width="7.453125" customWidth="1" style="1" min="8211" max="8448"/>
    <col width="8.7265625" bestFit="1" customWidth="1" style="1" min="8449" max="8449"/>
    <col width="7.453125" customWidth="1" style="1" min="8450" max="8454"/>
    <col width="9.08984375" customWidth="1" style="1" min="8455" max="8455"/>
    <col width="7.453125" customWidth="1" style="1" min="8456" max="8460"/>
    <col width="8.7265625" customWidth="1" style="1" min="8461" max="8466"/>
    <col width="7.453125" customWidth="1" style="1" min="8467" max="8704"/>
    <col width="8.7265625" bestFit="1" customWidth="1" style="1" min="8705" max="8705"/>
    <col width="7.453125" customWidth="1" style="1" min="8706" max="8710"/>
    <col width="9.08984375" customWidth="1" style="1" min="8711" max="8711"/>
    <col width="7.453125" customWidth="1" style="1" min="8712" max="8716"/>
    <col width="8.7265625" customWidth="1" style="1" min="8717" max="8722"/>
    <col width="7.453125" customWidth="1" style="1" min="8723" max="8960"/>
    <col width="8.7265625" bestFit="1" customWidth="1" style="1" min="8961" max="8961"/>
    <col width="7.453125" customWidth="1" style="1" min="8962" max="8966"/>
    <col width="9.08984375" customWidth="1" style="1" min="8967" max="8967"/>
    <col width="7.453125" customWidth="1" style="1" min="8968" max="8972"/>
    <col width="8.7265625" customWidth="1" style="1" min="8973" max="8978"/>
    <col width="7.453125" customWidth="1" style="1" min="8979" max="9216"/>
    <col width="8.7265625" bestFit="1" customWidth="1" style="1" min="9217" max="9217"/>
    <col width="7.453125" customWidth="1" style="1" min="9218" max="9222"/>
    <col width="9.08984375" customWidth="1" style="1" min="9223" max="9223"/>
    <col width="7.453125" customWidth="1" style="1" min="9224" max="9228"/>
    <col width="8.7265625" customWidth="1" style="1" min="9229" max="9234"/>
    <col width="7.453125" customWidth="1" style="1" min="9235" max="9472"/>
    <col width="8.7265625" bestFit="1" customWidth="1" style="1" min="9473" max="9473"/>
    <col width="7.453125" customWidth="1" style="1" min="9474" max="9478"/>
    <col width="9.08984375" customWidth="1" style="1" min="9479" max="9479"/>
    <col width="7.453125" customWidth="1" style="1" min="9480" max="9484"/>
    <col width="8.7265625" customWidth="1" style="1" min="9485" max="9490"/>
    <col width="7.453125" customWidth="1" style="1" min="9491" max="9728"/>
    <col width="8.7265625" bestFit="1" customWidth="1" style="1" min="9729" max="9729"/>
    <col width="7.453125" customWidth="1" style="1" min="9730" max="9734"/>
    <col width="9.08984375" customWidth="1" style="1" min="9735" max="9735"/>
    <col width="7.453125" customWidth="1" style="1" min="9736" max="9740"/>
    <col width="8.7265625" customWidth="1" style="1" min="9741" max="9746"/>
    <col width="7.453125" customWidth="1" style="1" min="9747" max="9984"/>
    <col width="8.7265625" bestFit="1" customWidth="1" style="1" min="9985" max="9985"/>
    <col width="7.453125" customWidth="1" style="1" min="9986" max="9990"/>
    <col width="9.08984375" customWidth="1" style="1" min="9991" max="9991"/>
    <col width="7.453125" customWidth="1" style="1" min="9992" max="9996"/>
    <col width="8.7265625" customWidth="1" style="1" min="9997" max="10002"/>
    <col width="7.453125" customWidth="1" style="1" min="10003" max="10240"/>
    <col width="8.7265625" bestFit="1" customWidth="1" style="1" min="10241" max="10241"/>
    <col width="7.453125" customWidth="1" style="1" min="10242" max="10246"/>
    <col width="9.08984375" customWidth="1" style="1" min="10247" max="10247"/>
    <col width="7.453125" customWidth="1" style="1" min="10248" max="10252"/>
    <col width="8.7265625" customWidth="1" style="1" min="10253" max="10258"/>
    <col width="7.453125" customWidth="1" style="1" min="10259" max="10496"/>
    <col width="8.7265625" bestFit="1" customWidth="1" style="1" min="10497" max="10497"/>
    <col width="7.453125" customWidth="1" style="1" min="10498" max="10502"/>
    <col width="9.08984375" customWidth="1" style="1" min="10503" max="10503"/>
    <col width="7.453125" customWidth="1" style="1" min="10504" max="10508"/>
    <col width="8.7265625" customWidth="1" style="1" min="10509" max="10514"/>
    <col width="7.453125" customWidth="1" style="1" min="10515" max="10752"/>
    <col width="8.7265625" bestFit="1" customWidth="1" style="1" min="10753" max="10753"/>
    <col width="7.453125" customWidth="1" style="1" min="10754" max="10758"/>
    <col width="9.08984375" customWidth="1" style="1" min="10759" max="10759"/>
    <col width="7.453125" customWidth="1" style="1" min="10760" max="10764"/>
    <col width="8.7265625" customWidth="1" style="1" min="10765" max="10770"/>
    <col width="7.453125" customWidth="1" style="1" min="10771" max="11008"/>
    <col width="8.7265625" bestFit="1" customWidth="1" style="1" min="11009" max="11009"/>
    <col width="7.453125" customWidth="1" style="1" min="11010" max="11014"/>
    <col width="9.08984375" customWidth="1" style="1" min="11015" max="11015"/>
    <col width="7.453125" customWidth="1" style="1" min="11016" max="11020"/>
    <col width="8.7265625" customWidth="1" style="1" min="11021" max="11026"/>
    <col width="7.453125" customWidth="1" style="1" min="11027" max="11264"/>
    <col width="8.7265625" bestFit="1" customWidth="1" style="1" min="11265" max="11265"/>
    <col width="7.453125" customWidth="1" style="1" min="11266" max="11270"/>
    <col width="9.08984375" customWidth="1" style="1" min="11271" max="11271"/>
    <col width="7.453125" customWidth="1" style="1" min="11272" max="11276"/>
    <col width="8.7265625" customWidth="1" style="1" min="11277" max="11282"/>
    <col width="7.453125" customWidth="1" style="1" min="11283" max="11520"/>
    <col width="8.7265625" bestFit="1" customWidth="1" style="1" min="11521" max="11521"/>
    <col width="7.453125" customWidth="1" style="1" min="11522" max="11526"/>
    <col width="9.08984375" customWidth="1" style="1" min="11527" max="11527"/>
    <col width="7.453125" customWidth="1" style="1" min="11528" max="11532"/>
    <col width="8.7265625" customWidth="1" style="1" min="11533" max="11538"/>
    <col width="7.453125" customWidth="1" style="1" min="11539" max="11776"/>
    <col width="8.7265625" bestFit="1" customWidth="1" style="1" min="11777" max="11777"/>
    <col width="7.453125" customWidth="1" style="1" min="11778" max="11782"/>
    <col width="9.08984375" customWidth="1" style="1" min="11783" max="11783"/>
    <col width="7.453125" customWidth="1" style="1" min="11784" max="11788"/>
    <col width="8.7265625" customWidth="1" style="1" min="11789" max="11794"/>
    <col width="7.453125" customWidth="1" style="1" min="11795" max="12032"/>
    <col width="8.7265625" bestFit="1" customWidth="1" style="1" min="12033" max="12033"/>
    <col width="7.453125" customWidth="1" style="1" min="12034" max="12038"/>
    <col width="9.08984375" customWidth="1" style="1" min="12039" max="12039"/>
    <col width="7.453125" customWidth="1" style="1" min="12040" max="12044"/>
    <col width="8.7265625" customWidth="1" style="1" min="12045" max="12050"/>
    <col width="7.453125" customWidth="1" style="1" min="12051" max="12288"/>
    <col width="8.7265625" bestFit="1" customWidth="1" style="1" min="12289" max="12289"/>
    <col width="7.453125" customWidth="1" style="1" min="12290" max="12294"/>
    <col width="9.08984375" customWidth="1" style="1" min="12295" max="12295"/>
    <col width="7.453125" customWidth="1" style="1" min="12296" max="12300"/>
    <col width="8.7265625" customWidth="1" style="1" min="12301" max="12306"/>
    <col width="7.453125" customWidth="1" style="1" min="12307" max="12544"/>
    <col width="8.7265625" bestFit="1" customWidth="1" style="1" min="12545" max="12545"/>
    <col width="7.453125" customWidth="1" style="1" min="12546" max="12550"/>
    <col width="9.08984375" customWidth="1" style="1" min="12551" max="12551"/>
    <col width="7.453125" customWidth="1" style="1" min="12552" max="12556"/>
    <col width="8.7265625" customWidth="1" style="1" min="12557" max="12562"/>
    <col width="7.453125" customWidth="1" style="1" min="12563" max="12800"/>
    <col width="8.7265625" bestFit="1" customWidth="1" style="1" min="12801" max="12801"/>
    <col width="7.453125" customWidth="1" style="1" min="12802" max="12806"/>
    <col width="9.08984375" customWidth="1" style="1" min="12807" max="12807"/>
    <col width="7.453125" customWidth="1" style="1" min="12808" max="12812"/>
    <col width="8.7265625" customWidth="1" style="1" min="12813" max="12818"/>
    <col width="7.453125" customWidth="1" style="1" min="12819" max="13056"/>
    <col width="8.7265625" bestFit="1" customWidth="1" style="1" min="13057" max="13057"/>
    <col width="7.453125" customWidth="1" style="1" min="13058" max="13062"/>
    <col width="9.08984375" customWidth="1" style="1" min="13063" max="13063"/>
    <col width="7.453125" customWidth="1" style="1" min="13064" max="13068"/>
    <col width="8.7265625" customWidth="1" style="1" min="13069" max="13074"/>
    <col width="7.453125" customWidth="1" style="1" min="13075" max="13312"/>
    <col width="8.7265625" bestFit="1" customWidth="1" style="1" min="13313" max="13313"/>
    <col width="7.453125" customWidth="1" style="1" min="13314" max="13318"/>
    <col width="9.08984375" customWidth="1" style="1" min="13319" max="13319"/>
    <col width="7.453125" customWidth="1" style="1" min="13320" max="13324"/>
    <col width="8.7265625" customWidth="1" style="1" min="13325" max="13330"/>
    <col width="7.453125" customWidth="1" style="1" min="13331" max="13568"/>
    <col width="8.7265625" bestFit="1" customWidth="1" style="1" min="13569" max="13569"/>
    <col width="7.453125" customWidth="1" style="1" min="13570" max="13574"/>
    <col width="9.08984375" customWidth="1" style="1" min="13575" max="13575"/>
    <col width="7.453125" customWidth="1" style="1" min="13576" max="13580"/>
    <col width="8.7265625" customWidth="1" style="1" min="13581" max="13586"/>
    <col width="7.453125" customWidth="1" style="1" min="13587" max="13824"/>
    <col width="8.7265625" bestFit="1" customWidth="1" style="1" min="13825" max="13825"/>
    <col width="7.453125" customWidth="1" style="1" min="13826" max="13830"/>
    <col width="9.08984375" customWidth="1" style="1" min="13831" max="13831"/>
    <col width="7.453125" customWidth="1" style="1" min="13832" max="13836"/>
    <col width="8.7265625" customWidth="1" style="1" min="13837" max="13842"/>
    <col width="7.453125" customWidth="1" style="1" min="13843" max="14080"/>
    <col width="8.7265625" bestFit="1" customWidth="1" style="1" min="14081" max="14081"/>
    <col width="7.453125" customWidth="1" style="1" min="14082" max="14086"/>
    <col width="9.08984375" customWidth="1" style="1" min="14087" max="14087"/>
    <col width="7.453125" customWidth="1" style="1" min="14088" max="14092"/>
    <col width="8.7265625" customWidth="1" style="1" min="14093" max="14098"/>
    <col width="7.453125" customWidth="1" style="1" min="14099" max="14336"/>
    <col width="8.7265625" bestFit="1" customWidth="1" style="1" min="14337" max="14337"/>
    <col width="7.453125" customWidth="1" style="1" min="14338" max="14342"/>
    <col width="9.08984375" customWidth="1" style="1" min="14343" max="14343"/>
    <col width="7.453125" customWidth="1" style="1" min="14344" max="14348"/>
    <col width="8.7265625" customWidth="1" style="1" min="14349" max="14354"/>
    <col width="7.453125" customWidth="1" style="1" min="14355" max="14592"/>
    <col width="8.7265625" bestFit="1" customWidth="1" style="1" min="14593" max="14593"/>
    <col width="7.453125" customWidth="1" style="1" min="14594" max="14598"/>
    <col width="9.08984375" customWidth="1" style="1" min="14599" max="14599"/>
    <col width="7.453125" customWidth="1" style="1" min="14600" max="14604"/>
    <col width="8.7265625" customWidth="1" style="1" min="14605" max="14610"/>
    <col width="7.453125" customWidth="1" style="1" min="14611" max="14848"/>
    <col width="8.7265625" bestFit="1" customWidth="1" style="1" min="14849" max="14849"/>
    <col width="7.453125" customWidth="1" style="1" min="14850" max="14854"/>
    <col width="9.08984375" customWidth="1" style="1" min="14855" max="14855"/>
    <col width="7.453125" customWidth="1" style="1" min="14856" max="14860"/>
    <col width="8.7265625" customWidth="1" style="1" min="14861" max="14866"/>
    <col width="7.453125" customWidth="1" style="1" min="14867" max="15104"/>
    <col width="8.7265625" bestFit="1" customWidth="1" style="1" min="15105" max="15105"/>
    <col width="7.453125" customWidth="1" style="1" min="15106" max="15110"/>
    <col width="9.08984375" customWidth="1" style="1" min="15111" max="15111"/>
    <col width="7.453125" customWidth="1" style="1" min="15112" max="15116"/>
    <col width="8.7265625" customWidth="1" style="1" min="15117" max="15122"/>
    <col width="7.453125" customWidth="1" style="1" min="15123" max="15360"/>
    <col width="8.7265625" bestFit="1" customWidth="1" style="1" min="15361" max="15361"/>
    <col width="7.453125" customWidth="1" style="1" min="15362" max="15366"/>
    <col width="9.08984375" customWidth="1" style="1" min="15367" max="15367"/>
    <col width="7.453125" customWidth="1" style="1" min="15368" max="15372"/>
    <col width="8.7265625" customWidth="1" style="1" min="15373" max="15378"/>
    <col width="7.453125" customWidth="1" style="1" min="15379" max="15616"/>
    <col width="8.7265625" bestFit="1" customWidth="1" style="1" min="15617" max="15617"/>
    <col width="7.453125" customWidth="1" style="1" min="15618" max="15622"/>
    <col width="9.08984375" customWidth="1" style="1" min="15623" max="15623"/>
    <col width="7.453125" customWidth="1" style="1" min="15624" max="15628"/>
    <col width="8.7265625" customWidth="1" style="1" min="15629" max="15634"/>
    <col width="7.453125" customWidth="1" style="1" min="15635" max="15872"/>
    <col width="8.7265625" bestFit="1" customWidth="1" style="1" min="15873" max="15873"/>
    <col width="7.453125" customWidth="1" style="1" min="15874" max="15878"/>
    <col width="9.08984375" customWidth="1" style="1" min="15879" max="15879"/>
    <col width="7.453125" customWidth="1" style="1" min="15880" max="15884"/>
    <col width="8.7265625" customWidth="1" style="1" min="15885" max="15890"/>
    <col width="7.453125" customWidth="1" style="1" min="15891" max="16128"/>
    <col width="8.7265625" bestFit="1" customWidth="1" style="1" min="16129" max="16129"/>
    <col width="7.453125" customWidth="1" style="1" min="16130" max="16134"/>
    <col width="9.08984375" customWidth="1" style="1" min="16135" max="16135"/>
    <col width="7.453125" customWidth="1" style="1" min="16136" max="16140"/>
    <col width="8.7265625" customWidth="1" style="1" min="16141" max="16146"/>
    <col width="7.453125" customWidth="1" style="1" min="16147" max="16384"/>
  </cols>
  <sheetData>
    <row r="1">
      <c r="M1" s="287" t="inlineStr">
        <is>
          <t xml:space="preserve">สรุปวันลา </t>
        </is>
      </c>
    </row>
    <row r="2">
      <c r="A2" s="288" t="inlineStr">
        <is>
          <t>แสงงาม</t>
        </is>
      </c>
      <c r="B2" s="289" t="inlineStr">
        <is>
          <t>กิจ</t>
        </is>
      </c>
      <c r="C2" s="289" t="inlineStr">
        <is>
          <t>กิจพิเศษ</t>
        </is>
      </c>
      <c r="D2" s="289" t="inlineStr">
        <is>
          <t>ป่วย</t>
        </is>
      </c>
      <c r="E2" s="289" t="inlineStr">
        <is>
          <t>ขาด</t>
        </is>
      </c>
      <c r="F2" s="289" t="inlineStr">
        <is>
          <t>พักร้อน</t>
        </is>
      </c>
      <c r="G2" s="289" t="inlineStr">
        <is>
          <t>สาย (นาที)</t>
        </is>
      </c>
      <c r="L2" s="121" t="inlineStr">
        <is>
          <t>ชื่อ</t>
        </is>
      </c>
      <c r="M2" s="289" t="inlineStr">
        <is>
          <t>กิจ</t>
        </is>
      </c>
      <c r="N2" s="289" t="inlineStr">
        <is>
          <t>กิจพิเศษ</t>
        </is>
      </c>
      <c r="O2" s="289" t="inlineStr">
        <is>
          <t>ป่วย</t>
        </is>
      </c>
      <c r="P2" s="289" t="inlineStr">
        <is>
          <t>ขาด</t>
        </is>
      </c>
      <c r="Q2" s="289" t="inlineStr">
        <is>
          <t>พักร้อน</t>
        </is>
      </c>
      <c r="R2" s="289" t="inlineStr">
        <is>
          <t>สาย (นาที)</t>
        </is>
      </c>
    </row>
    <row r="3">
      <c r="A3" s="290" t="n">
        <v>40909</v>
      </c>
      <c r="B3" s="291" t="n">
        <v>1.5</v>
      </c>
      <c r="C3" s="291" t="n"/>
      <c r="D3" s="291" t="n">
        <v>1</v>
      </c>
      <c r="E3" s="291" t="n"/>
      <c r="F3" s="291" t="n"/>
      <c r="G3" s="224" t="n">
        <v>0.0006944444444444445</v>
      </c>
      <c r="L3" s="225" t="inlineStr">
        <is>
          <t>แสงงาม</t>
        </is>
      </c>
      <c r="M3" s="291">
        <f>+B15</f>
        <v/>
      </c>
      <c r="N3" s="291">
        <f>+C15</f>
        <v/>
      </c>
      <c r="O3" s="291">
        <f>+D15</f>
        <v/>
      </c>
      <c r="P3" s="291">
        <f>+E15</f>
        <v/>
      </c>
      <c r="Q3" s="291">
        <f>+F15</f>
        <v/>
      </c>
      <c r="R3" s="226" t="n">
        <v>0.01666666666666667</v>
      </c>
    </row>
    <row r="4">
      <c r="A4" s="292" t="n">
        <v>40940</v>
      </c>
      <c r="B4" s="293" t="n"/>
      <c r="C4" s="293" t="n"/>
      <c r="D4" s="293" t="n"/>
      <c r="E4" s="293" t="n"/>
      <c r="F4" s="293" t="n"/>
      <c r="G4" s="293" t="n"/>
      <c r="L4" s="229" t="inlineStr">
        <is>
          <t>ชิติมา</t>
        </is>
      </c>
      <c r="M4" s="293">
        <f>+B30</f>
        <v/>
      </c>
      <c r="N4" s="293">
        <f>+C30</f>
        <v/>
      </c>
      <c r="O4" s="293">
        <f>+D30</f>
        <v/>
      </c>
      <c r="P4" s="293">
        <f>+E30</f>
        <v/>
      </c>
      <c r="Q4" s="293">
        <f>+F30</f>
        <v/>
      </c>
      <c r="R4" s="226" t="n">
        <v>0.01666666666666667</v>
      </c>
    </row>
    <row r="5">
      <c r="A5" s="292" t="n">
        <v>40969</v>
      </c>
      <c r="B5" s="293" t="n">
        <v>0.5</v>
      </c>
      <c r="C5" s="293" t="n"/>
      <c r="D5" s="293" t="n"/>
      <c r="E5" s="293" t="n"/>
      <c r="F5" s="293" t="n"/>
      <c r="G5" s="293" t="n"/>
      <c r="L5" s="230" t="inlineStr">
        <is>
          <t>พรพิมล</t>
        </is>
      </c>
      <c r="M5" s="294">
        <f>+B45</f>
        <v/>
      </c>
      <c r="N5" s="294">
        <f>+C45</f>
        <v/>
      </c>
      <c r="O5" s="294">
        <f>+D45</f>
        <v/>
      </c>
      <c r="P5" s="294">
        <f>+E45</f>
        <v/>
      </c>
      <c r="Q5" s="294">
        <f>+F45</f>
        <v/>
      </c>
      <c r="R5" s="226" t="n">
        <v>0.01597222222222222</v>
      </c>
    </row>
    <row r="6">
      <c r="A6" s="292" t="n">
        <v>41000</v>
      </c>
      <c r="B6" s="293" t="n">
        <v>0.5</v>
      </c>
      <c r="C6" s="293" t="n"/>
      <c r="D6" s="293" t="n"/>
      <c r="E6" s="293" t="n"/>
      <c r="F6" s="293" t="n"/>
      <c r="G6" s="293" t="n"/>
    </row>
    <row r="7">
      <c r="A7" s="292" t="n">
        <v>41030</v>
      </c>
      <c r="B7" s="293" t="n">
        <v>0.5</v>
      </c>
      <c r="C7" s="293" t="n"/>
      <c r="D7" s="293" t="n"/>
      <c r="E7" s="293" t="n"/>
      <c r="F7" s="293" t="n"/>
      <c r="G7" s="226" t="n"/>
    </row>
    <row r="8">
      <c r="A8" s="292" t="n">
        <v>41061</v>
      </c>
      <c r="B8" s="293" t="n">
        <v>1</v>
      </c>
      <c r="C8" s="293" t="n"/>
      <c r="D8" s="293" t="n">
        <v>1</v>
      </c>
      <c r="E8" s="293" t="n"/>
      <c r="F8" s="293" t="n"/>
      <c r="G8" s="293" t="n"/>
    </row>
    <row r="9">
      <c r="A9" s="292" t="n">
        <v>41091</v>
      </c>
      <c r="B9" s="293" t="n">
        <v>1</v>
      </c>
      <c r="C9" s="293" t="n"/>
      <c r="D9" s="293" t="n">
        <v>1</v>
      </c>
      <c r="E9" s="293" t="n"/>
      <c r="F9" s="293" t="n"/>
      <c r="G9" s="293" t="n"/>
    </row>
    <row r="10">
      <c r="A10" s="292" t="n">
        <v>41122</v>
      </c>
      <c r="B10" s="293" t="n">
        <v>0.5</v>
      </c>
      <c r="C10" s="293" t="n"/>
      <c r="D10" s="293" t="n"/>
      <c r="E10" s="293" t="n"/>
      <c r="F10" s="293" t="n"/>
      <c r="G10" s="226" t="n">
        <v>0.0006944444444444445</v>
      </c>
    </row>
    <row r="11">
      <c r="A11" s="292" t="n">
        <v>41153</v>
      </c>
      <c r="B11" s="293" t="n"/>
      <c r="C11" s="293" t="n"/>
      <c r="D11" s="293" t="n"/>
      <c r="E11" s="293" t="n"/>
      <c r="F11" s="293" t="n"/>
      <c r="G11" s="226" t="n">
        <v>0.01388888888888889</v>
      </c>
    </row>
    <row r="12">
      <c r="A12" s="292" t="n">
        <v>41183</v>
      </c>
      <c r="B12" s="293" t="n"/>
      <c r="C12" s="293" t="n"/>
      <c r="D12" s="293" t="n"/>
      <c r="E12" s="293" t="n"/>
      <c r="F12" s="293" t="n">
        <v>1</v>
      </c>
      <c r="G12" s="226" t="n">
        <v>0.0006944444444444445</v>
      </c>
    </row>
    <row r="13">
      <c r="A13" s="292" t="n">
        <v>41214</v>
      </c>
      <c r="B13" s="293" t="n"/>
      <c r="C13" s="293" t="n"/>
      <c r="D13" s="293" t="n"/>
      <c r="E13" s="293" t="n"/>
      <c r="F13" s="293" t="n">
        <v>1</v>
      </c>
      <c r="G13" s="226" t="n">
        <v>0.0006944444444444445</v>
      </c>
    </row>
    <row r="14">
      <c r="A14" s="295" t="n">
        <v>41244</v>
      </c>
      <c r="B14" s="294" t="n">
        <v>0.5</v>
      </c>
      <c r="C14" s="294" t="n">
        <v>6.5</v>
      </c>
      <c r="D14" s="294" t="n"/>
      <c r="E14" s="294" t="n"/>
      <c r="F14" s="294" t="n">
        <v>4</v>
      </c>
      <c r="G14" s="233" t="n"/>
    </row>
    <row r="15" ht="20.5" customHeight="1">
      <c r="A15" s="296" t="inlineStr">
        <is>
          <t>รวม</t>
        </is>
      </c>
      <c r="B15" s="297">
        <f>SUM(B3:B14)</f>
        <v/>
      </c>
      <c r="C15" s="297">
        <f>SUM(C3:C14)</f>
        <v/>
      </c>
      <c r="D15" s="297">
        <f>SUM(D3:D14)</f>
        <v/>
      </c>
      <c r="E15" s="297">
        <f>SUM(E3:E14)</f>
        <v/>
      </c>
      <c r="F15" s="297">
        <f>SUM(F3:F14)</f>
        <v/>
      </c>
      <c r="G15" s="236" t="n">
        <v>0.01666666666666667</v>
      </c>
    </row>
    <row r="17">
      <c r="A17" s="288" t="inlineStr">
        <is>
          <t>ชิติมา</t>
        </is>
      </c>
      <c r="B17" s="289" t="inlineStr">
        <is>
          <t>กิจ</t>
        </is>
      </c>
      <c r="C17" s="289" t="inlineStr">
        <is>
          <t>กิจพิเศษ</t>
        </is>
      </c>
      <c r="D17" s="289" t="inlineStr">
        <is>
          <t>ป่วย</t>
        </is>
      </c>
      <c r="E17" s="289" t="inlineStr">
        <is>
          <t>ขาด</t>
        </is>
      </c>
      <c r="F17" s="289" t="inlineStr">
        <is>
          <t>พักร้อน</t>
        </is>
      </c>
      <c r="G17" s="289" t="inlineStr">
        <is>
          <t>สาย (นาที)</t>
        </is>
      </c>
    </row>
    <row r="18">
      <c r="A18" s="290" t="n">
        <v>40909</v>
      </c>
      <c r="B18" s="291" t="n">
        <v>0.5</v>
      </c>
      <c r="C18" s="291" t="n"/>
      <c r="D18" s="291" t="n">
        <v>1</v>
      </c>
      <c r="E18" s="291" t="n"/>
      <c r="F18" s="291" t="n"/>
      <c r="G18" s="224" t="n">
        <v>0.0006944444444444445</v>
      </c>
    </row>
    <row r="19">
      <c r="A19" s="292" t="n">
        <v>40940</v>
      </c>
      <c r="B19" s="293" t="n">
        <v>1</v>
      </c>
      <c r="C19" s="293" t="n"/>
      <c r="D19" s="293" t="n"/>
      <c r="E19" s="293" t="n"/>
      <c r="F19" s="293" t="n"/>
      <c r="G19" s="293" t="n"/>
    </row>
    <row r="20">
      <c r="A20" s="292" t="n">
        <v>40969</v>
      </c>
      <c r="B20" s="293" t="n">
        <v>2</v>
      </c>
      <c r="C20" s="293" t="n"/>
      <c r="D20" s="293" t="n"/>
      <c r="E20" s="293" t="n"/>
      <c r="F20" s="293" t="n"/>
      <c r="G20" s="226" t="n">
        <v>0.001388888888888889</v>
      </c>
    </row>
    <row r="21">
      <c r="A21" s="292" t="n">
        <v>41000</v>
      </c>
      <c r="B21" s="293" t="n">
        <v>2.5</v>
      </c>
      <c r="C21" s="293" t="n"/>
      <c r="D21" s="293" t="n">
        <v>0.5</v>
      </c>
      <c r="E21" s="293" t="n"/>
      <c r="F21" s="293" t="n">
        <v>2</v>
      </c>
      <c r="G21" s="226" t="n">
        <v>0.0006944444444444445</v>
      </c>
    </row>
    <row r="22">
      <c r="A22" s="292" t="n">
        <v>41030</v>
      </c>
      <c r="B22" s="293" t="n"/>
      <c r="C22" s="293" t="n"/>
      <c r="D22" s="293" t="n">
        <v>1</v>
      </c>
      <c r="E22" s="293" t="n"/>
      <c r="F22" s="293" t="n">
        <v>3</v>
      </c>
      <c r="G22" s="293" t="n"/>
    </row>
    <row r="23">
      <c r="A23" s="292" t="n">
        <v>41061</v>
      </c>
      <c r="B23" s="293" t="n"/>
      <c r="C23" s="293" t="n"/>
      <c r="D23" s="293" t="n">
        <v>1.5</v>
      </c>
      <c r="E23" s="293" t="n"/>
      <c r="F23" s="293" t="n"/>
      <c r="G23" s="293" t="n"/>
    </row>
    <row r="24">
      <c r="A24" s="292" t="n">
        <v>41091</v>
      </c>
      <c r="B24" s="293" t="n"/>
      <c r="C24" s="293" t="n"/>
      <c r="D24" s="293" t="n"/>
      <c r="E24" s="293" t="n"/>
      <c r="F24" s="293" t="n">
        <v>1</v>
      </c>
      <c r="G24" s="293" t="n"/>
    </row>
    <row r="25">
      <c r="A25" s="292" t="n">
        <v>41122</v>
      </c>
      <c r="B25" s="293" t="n"/>
      <c r="C25" s="293" t="n"/>
      <c r="D25" s="293" t="n">
        <v>2</v>
      </c>
      <c r="E25" s="293" t="n"/>
      <c r="F25" s="293" t="n"/>
      <c r="G25" s="293" t="n"/>
    </row>
    <row r="26">
      <c r="A26" s="292" t="n">
        <v>41153</v>
      </c>
      <c r="B26" s="293" t="n"/>
      <c r="C26" s="293" t="n"/>
      <c r="D26" s="293" t="n">
        <v>1</v>
      </c>
      <c r="E26" s="293" t="n"/>
      <c r="F26" s="293" t="n"/>
      <c r="G26" s="226" t="n">
        <v>0.004166666666666667</v>
      </c>
    </row>
    <row r="27">
      <c r="A27" s="292" t="n">
        <v>41183</v>
      </c>
      <c r="B27" s="293" t="n"/>
      <c r="C27" s="293" t="n">
        <v>4</v>
      </c>
      <c r="D27" s="293" t="n"/>
      <c r="E27" s="293" t="n"/>
      <c r="F27" s="293" t="n"/>
      <c r="G27" s="226" t="n">
        <v>0.0006944444444444445</v>
      </c>
    </row>
    <row r="28">
      <c r="A28" s="292" t="n">
        <v>41214</v>
      </c>
      <c r="B28" s="293" t="n"/>
      <c r="C28" s="293" t="n"/>
      <c r="D28" s="293" t="n">
        <v>1.5</v>
      </c>
      <c r="E28" s="293" t="n"/>
      <c r="F28" s="293" t="n"/>
      <c r="G28" s="226" t="n">
        <v>0.009027777777777777</v>
      </c>
    </row>
    <row r="29">
      <c r="A29" s="295" t="n">
        <v>41244</v>
      </c>
      <c r="B29" s="294" t="n"/>
      <c r="C29" s="294" t="n"/>
      <c r="D29" s="294" t="n">
        <v>1</v>
      </c>
      <c r="E29" s="294" t="n"/>
      <c r="F29" s="294" t="n"/>
      <c r="G29" s="233" t="n"/>
    </row>
    <row r="30" ht="20.5" customHeight="1">
      <c r="A30" s="296" t="inlineStr">
        <is>
          <t>รวม</t>
        </is>
      </c>
      <c r="B30" s="297">
        <f>SUM(B18:B29)</f>
        <v/>
      </c>
      <c r="C30" s="297">
        <f>SUM(C18:C29)</f>
        <v/>
      </c>
      <c r="D30" s="297">
        <f>SUM(D18:D29)</f>
        <v/>
      </c>
      <c r="E30" s="297">
        <f>SUM(E18:E29)</f>
        <v/>
      </c>
      <c r="F30" s="297">
        <f>SUM(F18:F29)</f>
        <v/>
      </c>
      <c r="G30" s="236" t="n">
        <v>0.01666666666666667</v>
      </c>
    </row>
    <row r="32">
      <c r="A32" s="288" t="inlineStr">
        <is>
          <t>พรพิมล</t>
        </is>
      </c>
      <c r="B32" s="289" t="inlineStr">
        <is>
          <t>กิจ</t>
        </is>
      </c>
      <c r="C32" s="289" t="inlineStr">
        <is>
          <t>กิจพิเศษ</t>
        </is>
      </c>
      <c r="D32" s="289" t="inlineStr">
        <is>
          <t>ป่วย</t>
        </is>
      </c>
      <c r="E32" s="289" t="inlineStr">
        <is>
          <t>ขาด</t>
        </is>
      </c>
      <c r="F32" s="289" t="inlineStr">
        <is>
          <t>พักร้อน</t>
        </is>
      </c>
      <c r="G32" s="289" t="inlineStr">
        <is>
          <t>สาย (นาที)</t>
        </is>
      </c>
    </row>
    <row r="33">
      <c r="A33" s="290" t="n">
        <v>40909</v>
      </c>
      <c r="B33" s="291" t="n">
        <v>3.5</v>
      </c>
      <c r="C33" s="291" t="n"/>
      <c r="D33" s="291" t="n"/>
      <c r="E33" s="291" t="n"/>
      <c r="F33" s="291" t="n"/>
      <c r="G33" s="291" t="n"/>
    </row>
    <row r="34">
      <c r="A34" s="292" t="n">
        <v>40940</v>
      </c>
      <c r="B34" s="293" t="n">
        <v>2</v>
      </c>
      <c r="C34" s="293" t="n"/>
      <c r="D34" s="293" t="n"/>
      <c r="E34" s="293" t="n"/>
      <c r="F34" s="293" t="n"/>
      <c r="G34" s="226" t="n">
        <v>0.008333333333333333</v>
      </c>
    </row>
    <row r="35">
      <c r="A35" s="292" t="n">
        <v>40969</v>
      </c>
      <c r="B35" s="293" t="n">
        <v>0.5</v>
      </c>
      <c r="C35" s="293" t="n"/>
      <c r="D35" s="293" t="n"/>
      <c r="E35" s="293" t="n"/>
      <c r="F35" s="293" t="n">
        <v>2</v>
      </c>
      <c r="G35" s="293" t="n"/>
    </row>
    <row r="36">
      <c r="A36" s="292" t="n">
        <v>41000</v>
      </c>
      <c r="B36" s="293" t="n"/>
      <c r="C36" s="293" t="n"/>
      <c r="D36" s="293" t="n"/>
      <c r="E36" s="293" t="n"/>
      <c r="F36" s="293" t="n">
        <v>2</v>
      </c>
      <c r="G36" s="293" t="n"/>
    </row>
    <row r="37">
      <c r="A37" s="292" t="n">
        <v>41030</v>
      </c>
      <c r="B37" s="293" t="n"/>
      <c r="C37" s="293" t="n"/>
      <c r="D37" s="293" t="n">
        <v>1</v>
      </c>
      <c r="E37" s="293" t="n"/>
      <c r="F37" s="298" t="n">
        <v>1</v>
      </c>
      <c r="G37" s="293" t="n"/>
    </row>
    <row r="38">
      <c r="A38" s="292" t="n">
        <v>41061</v>
      </c>
      <c r="B38" s="293" t="n"/>
      <c r="C38" s="293" t="n"/>
      <c r="D38" s="293" t="n">
        <v>1</v>
      </c>
      <c r="E38" s="293" t="n"/>
      <c r="F38" s="298" t="n">
        <v>0.5</v>
      </c>
      <c r="G38" s="293" t="n"/>
    </row>
    <row r="39">
      <c r="A39" s="292" t="n">
        <v>41091</v>
      </c>
      <c r="B39" s="293" t="n"/>
      <c r="C39" s="293" t="n"/>
      <c r="D39" s="293" t="n"/>
      <c r="E39" s="293" t="n"/>
      <c r="F39" s="293" t="n"/>
      <c r="G39" s="238" t="n">
        <v>0.004861111111111111</v>
      </c>
    </row>
    <row r="40">
      <c r="A40" s="292" t="n">
        <v>41122</v>
      </c>
      <c r="B40" s="293" t="n"/>
      <c r="C40" s="293" t="n"/>
      <c r="D40" s="293" t="n"/>
      <c r="E40" s="293" t="n"/>
      <c r="F40" s="293" t="n">
        <v>0.5</v>
      </c>
      <c r="G40" s="226" t="n">
        <v>0.002083333333333333</v>
      </c>
    </row>
    <row r="41">
      <c r="A41" s="292" t="n">
        <v>41153</v>
      </c>
      <c r="B41" s="293" t="n"/>
      <c r="C41" s="293" t="n">
        <v>1</v>
      </c>
      <c r="D41" s="293" t="n"/>
      <c r="E41" s="293" t="n"/>
      <c r="F41" s="293" t="n"/>
      <c r="G41" s="293" t="n"/>
    </row>
    <row r="42">
      <c r="A42" s="292" t="n">
        <v>41183</v>
      </c>
      <c r="B42" s="293" t="n"/>
      <c r="C42" s="293" t="n">
        <v>2</v>
      </c>
      <c r="D42" s="293" t="n"/>
      <c r="E42" s="293" t="n"/>
      <c r="F42" s="293" t="n"/>
      <c r="G42" s="226" t="n">
        <v>0.0006944444444444445</v>
      </c>
    </row>
    <row r="43">
      <c r="A43" s="292" t="n">
        <v>41214</v>
      </c>
      <c r="B43" s="293" t="n"/>
      <c r="C43" s="293" t="n"/>
      <c r="D43" s="293" t="n">
        <v>2</v>
      </c>
      <c r="E43" s="293" t="n"/>
      <c r="F43" s="293" t="n"/>
      <c r="G43" s="293" t="n"/>
    </row>
    <row r="44">
      <c r="A44" s="295" t="n">
        <v>41244</v>
      </c>
      <c r="B44" s="294" t="n"/>
      <c r="C44" s="294" t="n"/>
      <c r="D44" s="294" t="n">
        <v>2</v>
      </c>
      <c r="E44" s="294" t="n"/>
      <c r="F44" s="294" t="n"/>
      <c r="G44" s="294" t="n"/>
    </row>
    <row r="45" ht="20.5" customHeight="1">
      <c r="A45" s="296" t="inlineStr">
        <is>
          <t>รวม</t>
        </is>
      </c>
      <c r="B45" s="297">
        <f>SUM(B33:B44)</f>
        <v/>
      </c>
      <c r="C45" s="297">
        <f>SUM(C33:C44)</f>
        <v/>
      </c>
      <c r="D45" s="297">
        <f>SUM(D33:D44)</f>
        <v/>
      </c>
      <c r="E45" s="297">
        <f>SUM(E33:E44)</f>
        <v/>
      </c>
      <c r="F45" s="297">
        <f>SUM(F33:F44)</f>
        <v/>
      </c>
      <c r="G45" s="236" t="n">
        <v>0.01597222222222222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Jirakrit Yodvanich</dc:creator>
  <dcterms:created xsi:type="dcterms:W3CDTF">2025-03-11T18:03:16Z</dcterms:created>
  <dcterms:modified xsi:type="dcterms:W3CDTF">2026-08-23T08:57:42Z</dcterms:modified>
  <cp:lastModifiedBy>Jirakrit Yodvanich</cp:lastModifiedBy>
  <cp:lastPrinted>2025-03-17T14:16:39Z</cp:lastPrinted>
</cp:coreProperties>
</file>