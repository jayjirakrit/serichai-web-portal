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Serichai\program\Bonus_Calculation\ปี_68\"/>
    </mc:Choice>
  </mc:AlternateContent>
  <xr:revisionPtr revIDLastSave="0" documentId="13_ncr:1_{B57031F1-477B-40BB-AD30-E4570D8B5D9A}" xr6:coauthVersionLast="47" xr6:coauthVersionMax="47" xr10:uidLastSave="{00000000-0000-0000-0000-000000000000}"/>
  <bookViews>
    <workbookView xWindow="-110" yWindow="-110" windowWidth="19420" windowHeight="11500" xr2:uid="{08CACDFA-8147-4C22-B45F-3484CE5C6347}"/>
  </bookViews>
  <sheets>
    <sheet name="ผลประเมินปี_68" sheetId="15" r:id="rId1"/>
    <sheet name="วันทำงานปี_68" sheetId="14" r:id="rId2"/>
    <sheet name="วันลาปี_68" sheetId="13" r:id="rId3"/>
    <sheet name="วันลาเงินเดือน_68" sheetId="1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C92" i="13" l="1"/>
  <c r="CC91" i="13"/>
  <c r="CC93" i="13"/>
  <c r="F45" i="16"/>
  <c r="E45" i="16"/>
  <c r="D45" i="16"/>
  <c r="C45" i="16"/>
  <c r="B45" i="16"/>
  <c r="F30" i="16"/>
  <c r="E30" i="16"/>
  <c r="D30" i="16"/>
  <c r="C30" i="16"/>
  <c r="B30" i="16"/>
  <c r="F15" i="16"/>
  <c r="Q3" i="16" s="1"/>
  <c r="E15" i="16"/>
  <c r="P3" i="16" s="1"/>
  <c r="D15" i="16"/>
  <c r="C15" i="16"/>
  <c r="B15" i="16"/>
  <c r="Q5" i="16"/>
  <c r="P5" i="16"/>
  <c r="O5" i="16"/>
  <c r="N5" i="16"/>
  <c r="M5" i="16"/>
  <c r="Q4" i="16"/>
  <c r="P4" i="16"/>
  <c r="O4" i="16"/>
  <c r="N4" i="16"/>
  <c r="M4" i="16"/>
  <c r="O3" i="16"/>
  <c r="N3" i="16"/>
  <c r="M3" i="16"/>
  <c r="CE90" i="13"/>
  <c r="CD90" i="13"/>
  <c r="CC90" i="13"/>
  <c r="CB90" i="13"/>
  <c r="CA90" i="13"/>
  <c r="BZ90" i="13"/>
  <c r="CE89" i="13"/>
  <c r="CD89" i="13"/>
  <c r="CC89" i="13"/>
  <c r="CB89" i="13"/>
  <c r="CA89" i="13"/>
  <c r="BZ89" i="13"/>
  <c r="CE88" i="13"/>
  <c r="CD88" i="13"/>
  <c r="CC88" i="13"/>
  <c r="CB88" i="13"/>
  <c r="CA88" i="13"/>
  <c r="BZ88" i="13"/>
  <c r="CE87" i="13"/>
  <c r="CD87" i="13"/>
  <c r="CC87" i="13"/>
  <c r="CB87" i="13"/>
  <c r="CA87" i="13"/>
  <c r="BZ87" i="13"/>
  <c r="CE86" i="13"/>
  <c r="CD86" i="13"/>
  <c r="CC86" i="13"/>
  <c r="CB86" i="13"/>
  <c r="CA86" i="13"/>
  <c r="BZ86" i="13"/>
  <c r="CE85" i="13"/>
  <c r="CD85" i="13"/>
  <c r="CC85" i="13"/>
  <c r="CB85" i="13"/>
  <c r="CA85" i="13"/>
  <c r="BZ85" i="13"/>
  <c r="CE84" i="13"/>
  <c r="CD84" i="13"/>
  <c r="CC84" i="13"/>
  <c r="CB84" i="13"/>
  <c r="CA84" i="13"/>
  <c r="BZ84" i="13"/>
  <c r="CE83" i="13"/>
  <c r="CD83" i="13"/>
  <c r="CC83" i="13"/>
  <c r="CB83" i="13"/>
  <c r="CA83" i="13"/>
  <c r="BZ83" i="13"/>
  <c r="CE82" i="13"/>
  <c r="CD82" i="13"/>
  <c r="CC82" i="13"/>
  <c r="CB82" i="13"/>
  <c r="CA82" i="13"/>
  <c r="BZ82" i="13"/>
  <c r="CE81" i="13"/>
  <c r="CD81" i="13"/>
  <c r="CC81" i="13"/>
  <c r="CB81" i="13"/>
  <c r="CA81" i="13"/>
  <c r="BZ81" i="13"/>
  <c r="CE80" i="13"/>
  <c r="CD80" i="13"/>
  <c r="CC80" i="13"/>
  <c r="CB80" i="13"/>
  <c r="CA80" i="13"/>
  <c r="BZ80" i="13"/>
  <c r="CE79" i="13"/>
  <c r="CD79" i="13"/>
  <c r="CC79" i="13"/>
  <c r="CB79" i="13"/>
  <c r="CA79" i="13"/>
  <c r="BZ79" i="13"/>
  <c r="CE78" i="13"/>
  <c r="CD78" i="13"/>
  <c r="CC78" i="13"/>
  <c r="CB78" i="13"/>
  <c r="CA78" i="13"/>
  <c r="BZ78" i="13"/>
  <c r="CE77" i="13"/>
  <c r="CD77" i="13"/>
  <c r="CC77" i="13"/>
  <c r="CB77" i="13"/>
  <c r="CA77" i="13"/>
  <c r="BZ77" i="13"/>
  <c r="CE76" i="13"/>
  <c r="CD76" i="13"/>
  <c r="CC76" i="13"/>
  <c r="CB76" i="13"/>
  <c r="CA76" i="13"/>
  <c r="BZ76" i="13"/>
  <c r="CE75" i="13"/>
  <c r="CD75" i="13"/>
  <c r="CC75" i="13"/>
  <c r="CB75" i="13"/>
  <c r="CA75" i="13"/>
  <c r="BZ75" i="13"/>
  <c r="CE74" i="13"/>
  <c r="CD74" i="13"/>
  <c r="CC74" i="13"/>
  <c r="CB74" i="13"/>
  <c r="CA74" i="13"/>
  <c r="BZ74" i="13"/>
  <c r="CE73" i="13"/>
  <c r="CD73" i="13"/>
  <c r="CC73" i="13"/>
  <c r="CB73" i="13"/>
  <c r="CA73" i="13"/>
  <c r="BZ73" i="13"/>
  <c r="CE72" i="13"/>
  <c r="CD72" i="13"/>
  <c r="CC72" i="13"/>
  <c r="CB72" i="13"/>
  <c r="CA72" i="13"/>
  <c r="BZ72" i="13"/>
  <c r="CE71" i="13"/>
  <c r="CD71" i="13"/>
  <c r="CC71" i="13"/>
  <c r="CB71" i="13"/>
  <c r="CA71" i="13"/>
  <c r="BZ71" i="13"/>
  <c r="CE70" i="13"/>
  <c r="CD70" i="13"/>
  <c r="CC70" i="13"/>
  <c r="CB70" i="13"/>
  <c r="CA70" i="13"/>
  <c r="BZ70" i="13"/>
  <c r="CE69" i="13"/>
  <c r="CD69" i="13"/>
  <c r="CC69" i="13"/>
  <c r="CB69" i="13"/>
  <c r="CA69" i="13"/>
  <c r="BZ69" i="13"/>
  <c r="CE68" i="13"/>
  <c r="CD68" i="13"/>
  <c r="CC68" i="13"/>
  <c r="CB68" i="13"/>
  <c r="CA68" i="13"/>
  <c r="BZ68" i="13"/>
  <c r="CE67" i="13"/>
  <c r="CD67" i="13"/>
  <c r="CC67" i="13"/>
  <c r="CB67" i="13"/>
  <c r="CA67" i="13"/>
  <c r="BZ67" i="13"/>
  <c r="CE66" i="13"/>
  <c r="CD66" i="13"/>
  <c r="CC66" i="13"/>
  <c r="CB66" i="13"/>
  <c r="CA66" i="13"/>
  <c r="BZ66" i="13"/>
  <c r="CE65" i="13"/>
  <c r="CD65" i="13"/>
  <c r="CC65" i="13"/>
  <c r="CB65" i="13"/>
  <c r="CA65" i="13"/>
  <c r="BZ65" i="13"/>
  <c r="CE64" i="13"/>
  <c r="CD64" i="13"/>
  <c r="CC64" i="13"/>
  <c r="CB64" i="13"/>
  <c r="CA64" i="13"/>
  <c r="BZ64" i="13"/>
  <c r="CE63" i="13"/>
  <c r="CD63" i="13"/>
  <c r="CC63" i="13"/>
  <c r="CB63" i="13"/>
  <c r="CA63" i="13"/>
  <c r="BZ63" i="13"/>
  <c r="CE62" i="13"/>
  <c r="CD62" i="13"/>
  <c r="CC62" i="13"/>
  <c r="CB62" i="13"/>
  <c r="CA62" i="13"/>
  <c r="BZ62" i="13"/>
  <c r="CE61" i="13"/>
  <c r="CD61" i="13"/>
  <c r="CC61" i="13"/>
  <c r="CB61" i="13"/>
  <c r="CA61" i="13"/>
  <c r="BZ61" i="13"/>
  <c r="CE60" i="13"/>
  <c r="CD60" i="13"/>
  <c r="CC60" i="13"/>
  <c r="CB60" i="13"/>
  <c r="CA60" i="13"/>
  <c r="BZ60" i="13"/>
  <c r="CE59" i="13"/>
  <c r="CD59" i="13"/>
  <c r="CC59" i="13"/>
  <c r="CB59" i="13"/>
  <c r="CA59" i="13"/>
  <c r="BZ59" i="13"/>
  <c r="CE58" i="13"/>
  <c r="CD58" i="13"/>
  <c r="CC58" i="13"/>
  <c r="CB58" i="13"/>
  <c r="CA58" i="13"/>
  <c r="BZ58" i="13"/>
  <c r="CE57" i="13"/>
  <c r="CD57" i="13"/>
  <c r="CC57" i="13"/>
  <c r="CB57" i="13"/>
  <c r="CA57" i="13"/>
  <c r="BZ57" i="13"/>
  <c r="CE56" i="13"/>
  <c r="CD56" i="13"/>
  <c r="CC56" i="13"/>
  <c r="CB56" i="13"/>
  <c r="CA56" i="13"/>
  <c r="BZ56" i="13"/>
  <c r="CE55" i="13"/>
  <c r="CD55" i="13"/>
  <c r="CC55" i="13"/>
  <c r="CB55" i="13"/>
  <c r="CA55" i="13"/>
  <c r="BZ55" i="13"/>
  <c r="CE54" i="13"/>
  <c r="CD54" i="13"/>
  <c r="CC54" i="13"/>
  <c r="CB54" i="13"/>
  <c r="CA54" i="13"/>
  <c r="BZ54" i="13"/>
  <c r="CE53" i="13"/>
  <c r="CD53" i="13"/>
  <c r="CC53" i="13"/>
  <c r="CB53" i="13"/>
  <c r="CA53" i="13"/>
  <c r="BZ53" i="13"/>
  <c r="CE52" i="13"/>
  <c r="CD52" i="13"/>
  <c r="CC52" i="13"/>
  <c r="CB52" i="13"/>
  <c r="CA52" i="13"/>
  <c r="BZ52" i="13"/>
  <c r="CE51" i="13"/>
  <c r="CD51" i="13"/>
  <c r="CC51" i="13"/>
  <c r="CB51" i="13"/>
  <c r="CA51" i="13"/>
  <c r="BZ51" i="13"/>
  <c r="CE50" i="13"/>
  <c r="CD50" i="13"/>
  <c r="CC50" i="13"/>
  <c r="CB50" i="13"/>
  <c r="CA50" i="13"/>
  <c r="BZ50" i="13"/>
  <c r="CE49" i="13"/>
  <c r="CD49" i="13"/>
  <c r="CC49" i="13"/>
  <c r="CB49" i="13"/>
  <c r="CA49" i="13"/>
  <c r="BZ49" i="13"/>
  <c r="CE48" i="13"/>
  <c r="CD48" i="13"/>
  <c r="CC48" i="13"/>
  <c r="CB48" i="13"/>
  <c r="CA48" i="13"/>
  <c r="BZ48" i="13"/>
  <c r="CE47" i="13"/>
  <c r="CD47" i="13"/>
  <c r="CC47" i="13"/>
  <c r="CB47" i="13"/>
  <c r="CA47" i="13"/>
  <c r="BZ47" i="13"/>
  <c r="CE46" i="13"/>
  <c r="CD46" i="13"/>
  <c r="CC46" i="13"/>
  <c r="CB46" i="13"/>
  <c r="CA46" i="13"/>
  <c r="BZ46" i="13"/>
  <c r="CE45" i="13"/>
  <c r="CD45" i="13"/>
  <c r="CC45" i="13"/>
  <c r="CB45" i="13"/>
  <c r="CA45" i="13"/>
  <c r="BZ45" i="13"/>
  <c r="CE44" i="13"/>
  <c r="CD44" i="13"/>
  <c r="CC44" i="13"/>
  <c r="CB44" i="13"/>
  <c r="CA44" i="13"/>
  <c r="BZ44" i="13"/>
  <c r="CE43" i="13"/>
  <c r="CD43" i="13"/>
  <c r="CC43" i="13"/>
  <c r="CB43" i="13"/>
  <c r="CA43" i="13"/>
  <c r="BZ43" i="13"/>
  <c r="CE42" i="13"/>
  <c r="CD42" i="13"/>
  <c r="CC42" i="13"/>
  <c r="CB42" i="13"/>
  <c r="CA42" i="13"/>
  <c r="BZ42" i="13"/>
  <c r="CE41" i="13"/>
  <c r="CD41" i="13"/>
  <c r="CC41" i="13"/>
  <c r="CB41" i="13"/>
  <c r="CA41" i="13"/>
  <c r="BZ41" i="13"/>
  <c r="CE40" i="13"/>
  <c r="CD40" i="13"/>
  <c r="CC40" i="13"/>
  <c r="CB40" i="13"/>
  <c r="CA40" i="13"/>
  <c r="BZ40" i="13"/>
  <c r="CE39" i="13"/>
  <c r="CD39" i="13"/>
  <c r="CC39" i="13"/>
  <c r="CB39" i="13"/>
  <c r="CA39" i="13"/>
  <c r="BZ39" i="13"/>
  <c r="CE38" i="13"/>
  <c r="CD38" i="13"/>
  <c r="CC38" i="13"/>
  <c r="CB38" i="13"/>
  <c r="CA38" i="13"/>
  <c r="BZ38" i="13"/>
  <c r="CE37" i="13"/>
  <c r="CD37" i="13"/>
  <c r="CC37" i="13"/>
  <c r="CB37" i="13"/>
  <c r="CA37" i="13"/>
  <c r="BZ37" i="13"/>
  <c r="CE36" i="13"/>
  <c r="CD36" i="13"/>
  <c r="CC36" i="13"/>
  <c r="CB36" i="13"/>
  <c r="CA36" i="13"/>
  <c r="BZ36" i="13"/>
  <c r="CE35" i="13"/>
  <c r="CD35" i="13"/>
  <c r="CC35" i="13"/>
  <c r="CB35" i="13"/>
  <c r="CA35" i="13"/>
  <c r="BZ35" i="13"/>
  <c r="CE34" i="13"/>
  <c r="CD34" i="13"/>
  <c r="CC34" i="13"/>
  <c r="CB34" i="13"/>
  <c r="CA34" i="13"/>
  <c r="BZ34" i="13"/>
  <c r="CE33" i="13"/>
  <c r="CD33" i="13"/>
  <c r="CC33" i="13"/>
  <c r="CB33" i="13"/>
  <c r="CA33" i="13"/>
  <c r="BZ33" i="13"/>
  <c r="CE32" i="13"/>
  <c r="CD32" i="13"/>
  <c r="CC32" i="13"/>
  <c r="CB32" i="13"/>
  <c r="CA32" i="13"/>
  <c r="BZ32" i="13"/>
  <c r="CE31" i="13"/>
  <c r="CD31" i="13"/>
  <c r="CC31" i="13"/>
  <c r="CB31" i="13"/>
  <c r="CA31" i="13"/>
  <c r="BZ31" i="13"/>
  <c r="CE30" i="13"/>
  <c r="CD30" i="13"/>
  <c r="CC30" i="13"/>
  <c r="CB30" i="13"/>
  <c r="CA30" i="13"/>
  <c r="BZ30" i="13"/>
  <c r="CE29" i="13"/>
  <c r="CD29" i="13"/>
  <c r="CC29" i="13"/>
  <c r="CB29" i="13"/>
  <c r="CA29" i="13"/>
  <c r="BZ29" i="13"/>
  <c r="CE28" i="13"/>
  <c r="CD28" i="13"/>
  <c r="CC28" i="13"/>
  <c r="CB28" i="13"/>
  <c r="CA28" i="13"/>
  <c r="BZ28" i="13"/>
  <c r="CE27" i="13"/>
  <c r="CD27" i="13"/>
  <c r="CC27" i="13"/>
  <c r="CB27" i="13"/>
  <c r="CA27" i="13"/>
  <c r="BZ27" i="13"/>
  <c r="CE26" i="13"/>
  <c r="CD26" i="13"/>
  <c r="CC26" i="13"/>
  <c r="CB26" i="13"/>
  <c r="CA26" i="13"/>
  <c r="BZ26" i="13"/>
  <c r="CE25" i="13"/>
  <c r="CD25" i="13"/>
  <c r="CC25" i="13"/>
  <c r="CB25" i="13"/>
  <c r="CA25" i="13"/>
  <c r="BZ25" i="13"/>
  <c r="CE24" i="13"/>
  <c r="CD24" i="13"/>
  <c r="CC24" i="13"/>
  <c r="CB24" i="13"/>
  <c r="CA24" i="13"/>
  <c r="BZ24" i="13"/>
  <c r="CE23" i="13"/>
  <c r="CD23" i="13"/>
  <c r="CC23" i="13"/>
  <c r="CB23" i="13"/>
  <c r="CA23" i="13"/>
  <c r="BZ23" i="13"/>
  <c r="CE22" i="13"/>
  <c r="CD22" i="13"/>
  <c r="CC22" i="13"/>
  <c r="CB22" i="13"/>
  <c r="CA22" i="13"/>
  <c r="BZ22" i="13"/>
  <c r="CE21" i="13"/>
  <c r="CD21" i="13"/>
  <c r="CC21" i="13"/>
  <c r="CB21" i="13"/>
  <c r="CA21" i="13"/>
  <c r="BZ21" i="13"/>
  <c r="CE20" i="13"/>
  <c r="CD20" i="13"/>
  <c r="CC20" i="13"/>
  <c r="CB20" i="13"/>
  <c r="CA20" i="13"/>
  <c r="BZ20" i="13"/>
  <c r="CE19" i="13"/>
  <c r="CD19" i="13"/>
  <c r="CC19" i="13"/>
  <c r="CB19" i="13"/>
  <c r="CA19" i="13"/>
  <c r="BZ19" i="13"/>
  <c r="CE18" i="13"/>
  <c r="CD18" i="13"/>
  <c r="CC18" i="13"/>
  <c r="CB18" i="13"/>
  <c r="CA18" i="13"/>
  <c r="BZ18" i="13"/>
  <c r="CE17" i="13"/>
  <c r="CD17" i="13"/>
  <c r="CC17" i="13"/>
  <c r="CB17" i="13"/>
  <c r="CA17" i="13"/>
  <c r="BZ17" i="13"/>
  <c r="CE16" i="13"/>
  <c r="CD16" i="13"/>
  <c r="CC16" i="13"/>
  <c r="CB16" i="13"/>
  <c r="CA16" i="13"/>
  <c r="BZ16" i="13"/>
  <c r="CE15" i="13"/>
  <c r="CD15" i="13"/>
  <c r="CC15" i="13"/>
  <c r="CB15" i="13"/>
  <c r="CA15" i="13"/>
  <c r="BZ15" i="13"/>
  <c r="CE14" i="13"/>
  <c r="CD14" i="13"/>
  <c r="CC14" i="13"/>
  <c r="CB14" i="13"/>
  <c r="CA14" i="13"/>
  <c r="BZ14" i="13"/>
  <c r="CE13" i="13"/>
  <c r="CD13" i="13"/>
  <c r="CC13" i="13"/>
  <c r="CB13" i="13"/>
  <c r="CA13" i="13"/>
  <c r="BZ13" i="13"/>
  <c r="CE12" i="13"/>
  <c r="CD12" i="13"/>
  <c r="CC12" i="13"/>
  <c r="CB12" i="13"/>
  <c r="CA12" i="13"/>
  <c r="BZ12" i="13"/>
  <c r="CE11" i="13"/>
  <c r="CD11" i="13"/>
  <c r="CB11" i="13"/>
  <c r="CA11" i="13"/>
  <c r="BZ11" i="13"/>
  <c r="CE10" i="13"/>
  <c r="CD10" i="13"/>
  <c r="CC10" i="13"/>
  <c r="CB10" i="13"/>
  <c r="CA10" i="13"/>
  <c r="BZ10" i="13"/>
  <c r="CE9" i="13"/>
  <c r="CD9" i="13"/>
  <c r="CC9" i="13"/>
  <c r="CB9" i="13"/>
  <c r="CA9" i="13"/>
  <c r="BZ9" i="13"/>
  <c r="CE8" i="13"/>
  <c r="CD8" i="13"/>
  <c r="CC8" i="13"/>
  <c r="CB8" i="13"/>
  <c r="CA8" i="13"/>
  <c r="BZ8" i="13"/>
  <c r="CE7" i="13"/>
  <c r="CD7" i="13"/>
  <c r="CC7" i="13"/>
  <c r="CB7" i="13"/>
  <c r="CA7" i="13"/>
  <c r="BZ7" i="13"/>
  <c r="CE6" i="13"/>
  <c r="CD6" i="13"/>
  <c r="CC6" i="13"/>
  <c r="CB6" i="13"/>
  <c r="CA6" i="13"/>
  <c r="BZ6" i="13"/>
  <c r="CE5" i="13"/>
  <c r="CD5" i="13"/>
  <c r="CC5" i="13"/>
  <c r="CB5" i="13"/>
  <c r="CA5" i="13"/>
  <c r="BZ5" i="13"/>
  <c r="AU104" i="14"/>
  <c r="AT104" i="14"/>
  <c r="AS104" i="14"/>
  <c r="AU103" i="14"/>
  <c r="AT103" i="14"/>
  <c r="AS103" i="14"/>
  <c r="AU102" i="14"/>
  <c r="AT102" i="14"/>
  <c r="AS102" i="14"/>
  <c r="AU101" i="14"/>
  <c r="AT101" i="14"/>
  <c r="AS101" i="14"/>
  <c r="AU100" i="14"/>
  <c r="AT100" i="14"/>
  <c r="AS100" i="14"/>
  <c r="AU99" i="14"/>
  <c r="AT99" i="14"/>
  <c r="AS99" i="14"/>
  <c r="AU98" i="14"/>
  <c r="AT98" i="14"/>
  <c r="AS98" i="14"/>
  <c r="AU97" i="14"/>
  <c r="AT97" i="14"/>
  <c r="AS97" i="14"/>
  <c r="AU96" i="14"/>
  <c r="AT96" i="14"/>
  <c r="AS96" i="14"/>
  <c r="AU95" i="14"/>
  <c r="AT95" i="14"/>
  <c r="AS95" i="14"/>
  <c r="AU94" i="14"/>
  <c r="AT94" i="14"/>
  <c r="AS94" i="14"/>
  <c r="AU93" i="14"/>
  <c r="AT93" i="14"/>
  <c r="AS93" i="14"/>
  <c r="AU92" i="14"/>
  <c r="AT92" i="14"/>
  <c r="AS92" i="14"/>
  <c r="AU91" i="14"/>
  <c r="AT91" i="14"/>
  <c r="AS91" i="14"/>
  <c r="AU90" i="14"/>
  <c r="AT90" i="14"/>
  <c r="AS90" i="14"/>
  <c r="AU89" i="14"/>
  <c r="AT89" i="14"/>
  <c r="AS89" i="14"/>
  <c r="AU88" i="14"/>
  <c r="AT88" i="14"/>
  <c r="AS88" i="14"/>
  <c r="AU87" i="14"/>
  <c r="AT87" i="14"/>
  <c r="AS87" i="14"/>
  <c r="AU86" i="14"/>
  <c r="AT86" i="14"/>
  <c r="AS86" i="14"/>
  <c r="AU85" i="14"/>
  <c r="AT85" i="14"/>
  <c r="AS85" i="14"/>
  <c r="AU84" i="14"/>
  <c r="AT84" i="14"/>
  <c r="AS84" i="14"/>
  <c r="AU83" i="14"/>
  <c r="AT83" i="14"/>
  <c r="AS83" i="14"/>
  <c r="AU82" i="14"/>
  <c r="AT82" i="14"/>
  <c r="AS82" i="14"/>
  <c r="AU81" i="14"/>
  <c r="AT81" i="14"/>
  <c r="AS81" i="14"/>
  <c r="AU80" i="14"/>
  <c r="AT80" i="14"/>
  <c r="AS80" i="14"/>
  <c r="AU79" i="14"/>
  <c r="AT79" i="14"/>
  <c r="AS79" i="14"/>
  <c r="AU78" i="14"/>
  <c r="AT78" i="14"/>
  <c r="AS78" i="14"/>
  <c r="AU77" i="14"/>
  <c r="AT77" i="14"/>
  <c r="AS77" i="14"/>
  <c r="AU76" i="14"/>
  <c r="AT76" i="14"/>
  <c r="AS76" i="14"/>
  <c r="AU75" i="14"/>
  <c r="AT75" i="14"/>
  <c r="AS75" i="14"/>
  <c r="AU74" i="14"/>
  <c r="AT74" i="14"/>
  <c r="AS74" i="14"/>
  <c r="AU73" i="14"/>
  <c r="AT73" i="14"/>
  <c r="AS73" i="14"/>
  <c r="AU72" i="14"/>
  <c r="AT72" i="14"/>
  <c r="AS72" i="14"/>
  <c r="AU71" i="14"/>
  <c r="AT71" i="14"/>
  <c r="AS71" i="14"/>
  <c r="AU70" i="14"/>
  <c r="AT70" i="14"/>
  <c r="AS70" i="14"/>
  <c r="AU69" i="14"/>
  <c r="AT69" i="14"/>
  <c r="AS69" i="14"/>
  <c r="AU68" i="14"/>
  <c r="AT68" i="14"/>
  <c r="AS68" i="14"/>
  <c r="AU67" i="14"/>
  <c r="AT67" i="14"/>
  <c r="AS67" i="14"/>
  <c r="AU66" i="14"/>
  <c r="AT66" i="14"/>
  <c r="AS66" i="14"/>
  <c r="AU65" i="14"/>
  <c r="AT65" i="14"/>
  <c r="AS65" i="14"/>
  <c r="AU64" i="14"/>
  <c r="AT64" i="14"/>
  <c r="AS64" i="14"/>
  <c r="AU63" i="14"/>
  <c r="AT63" i="14"/>
  <c r="AS63" i="14"/>
  <c r="AU62" i="14"/>
  <c r="AT62" i="14"/>
  <c r="AS62" i="14"/>
  <c r="AU61" i="14"/>
  <c r="AT61" i="14"/>
  <c r="AS61" i="14"/>
  <c r="AU60" i="14"/>
  <c r="AT60" i="14"/>
  <c r="AS60" i="14"/>
  <c r="AU59" i="14"/>
  <c r="AT59" i="14"/>
  <c r="AS59" i="14"/>
  <c r="AU58" i="14"/>
  <c r="AT58" i="14"/>
  <c r="AS58" i="14"/>
  <c r="AU57" i="14"/>
  <c r="AT57" i="14"/>
  <c r="AS57" i="14"/>
  <c r="AU56" i="14"/>
  <c r="AT56" i="14"/>
  <c r="AS56" i="14"/>
  <c r="AU55" i="14"/>
  <c r="AT55" i="14"/>
  <c r="AS55" i="14"/>
  <c r="AU54" i="14"/>
  <c r="AT54" i="14"/>
  <c r="AS54" i="14"/>
  <c r="AU53" i="14"/>
  <c r="AT53" i="14"/>
  <c r="AS53" i="14"/>
  <c r="AU52" i="14"/>
  <c r="AT52" i="14"/>
  <c r="AS52" i="14"/>
  <c r="AU51" i="14"/>
  <c r="AT51" i="14"/>
  <c r="AS51" i="14"/>
  <c r="AU50" i="14"/>
  <c r="AT50" i="14"/>
  <c r="AS50" i="14"/>
  <c r="AU49" i="14"/>
  <c r="AT49" i="14"/>
  <c r="AS49" i="14"/>
  <c r="AU48" i="14"/>
  <c r="AT48" i="14"/>
  <c r="AS48" i="14"/>
  <c r="AU47" i="14"/>
  <c r="AT47" i="14"/>
  <c r="AS47" i="14"/>
  <c r="AU46" i="14"/>
  <c r="AT46" i="14"/>
  <c r="AS46" i="14"/>
  <c r="AU45" i="14"/>
  <c r="AT45" i="14"/>
  <c r="AS45" i="14"/>
  <c r="AU44" i="14"/>
  <c r="AT44" i="14"/>
  <c r="AS44" i="14"/>
  <c r="AU43" i="14"/>
  <c r="AT43" i="14"/>
  <c r="AS43" i="14"/>
  <c r="AU42" i="14"/>
  <c r="AT42" i="14"/>
  <c r="AS42" i="14"/>
  <c r="AU41" i="14"/>
  <c r="AT41" i="14"/>
  <c r="AS41" i="14"/>
  <c r="AU40" i="14"/>
  <c r="AT40" i="14"/>
  <c r="AS40" i="14"/>
  <c r="AU39" i="14"/>
  <c r="AT39" i="14"/>
  <c r="AS39" i="14"/>
  <c r="AU38" i="14"/>
  <c r="AT38" i="14"/>
  <c r="AS38" i="14"/>
  <c r="AU37" i="14"/>
  <c r="AT37" i="14"/>
  <c r="AS37" i="14"/>
  <c r="AU36" i="14"/>
  <c r="AT36" i="14"/>
  <c r="AS36" i="14"/>
  <c r="AU35" i="14"/>
  <c r="AT35" i="14"/>
  <c r="AS35" i="14"/>
  <c r="AU34" i="14"/>
  <c r="AT34" i="14"/>
  <c r="AS34" i="14"/>
  <c r="AU33" i="14"/>
  <c r="AT33" i="14"/>
  <c r="AS33" i="14"/>
  <c r="AU32" i="14"/>
  <c r="AT32" i="14"/>
  <c r="AS32" i="14"/>
  <c r="AU31" i="14"/>
  <c r="AT31" i="14"/>
  <c r="AS31" i="14"/>
  <c r="AU30" i="14"/>
  <c r="AT30" i="14"/>
  <c r="AS30" i="14"/>
  <c r="AU29" i="14"/>
  <c r="AT29" i="14"/>
  <c r="AS29" i="14"/>
  <c r="AU28" i="14"/>
  <c r="AT28" i="14"/>
  <c r="AS28" i="14"/>
  <c r="AU27" i="14"/>
  <c r="AT27" i="14"/>
  <c r="AS27" i="14"/>
  <c r="AU26" i="14"/>
  <c r="AT26" i="14"/>
  <c r="AS26" i="14"/>
  <c r="AU25" i="14"/>
  <c r="AT25" i="14"/>
  <c r="AS25" i="14"/>
  <c r="AU24" i="14"/>
  <c r="AT24" i="14"/>
  <c r="AS24" i="14"/>
  <c r="AU23" i="14"/>
  <c r="AT23" i="14"/>
  <c r="AS23" i="14"/>
  <c r="AU22" i="14"/>
  <c r="AT22" i="14"/>
  <c r="AS22" i="14"/>
  <c r="AU21" i="14"/>
  <c r="AT21" i="14"/>
  <c r="AS21" i="14"/>
  <c r="AU20" i="14"/>
  <c r="AT20" i="14"/>
  <c r="AS20" i="14"/>
  <c r="AU19" i="14"/>
  <c r="AT19" i="14"/>
  <c r="AS19" i="14"/>
  <c r="AU18" i="14"/>
  <c r="AT18" i="14"/>
  <c r="AS18" i="14"/>
  <c r="AU17" i="14"/>
  <c r="AT17" i="14"/>
  <c r="AS17" i="14"/>
  <c r="AU16" i="14"/>
  <c r="AT16" i="14"/>
  <c r="AS16" i="14"/>
  <c r="AU15" i="14"/>
  <c r="AT15" i="14"/>
  <c r="AS15" i="14"/>
  <c r="AU14" i="14"/>
  <c r="AT14" i="14"/>
  <c r="AS14" i="14"/>
  <c r="AU13" i="14"/>
  <c r="AT13" i="14"/>
  <c r="AS13" i="14"/>
  <c r="AU12" i="14"/>
  <c r="AT12" i="14"/>
  <c r="AS12" i="14"/>
  <c r="AU11" i="14"/>
  <c r="AT11" i="14"/>
  <c r="AS11" i="14"/>
  <c r="AU10" i="14"/>
  <c r="AT10" i="14"/>
  <c r="AS10" i="14"/>
  <c r="AU9" i="14"/>
  <c r="AT9" i="14"/>
  <c r="AS9" i="14"/>
  <c r="AU8" i="14"/>
  <c r="AT8" i="14"/>
  <c r="AS8" i="14"/>
  <c r="AU7" i="14"/>
  <c r="AT7" i="14"/>
  <c r="AS7" i="14"/>
  <c r="AU6" i="14"/>
  <c r="AT6" i="14"/>
  <c r="AS6" i="14"/>
  <c r="AU5" i="14"/>
  <c r="AT5" i="14"/>
  <c r="AS5" i="14"/>
</calcChain>
</file>

<file path=xl/sharedStrings.xml><?xml version="1.0" encoding="utf-8"?>
<sst xmlns="http://schemas.openxmlformats.org/spreadsheetml/2006/main" count="1393" uniqueCount="259">
  <si>
    <t>ลำดับ</t>
  </si>
  <si>
    <t>คำนำหน้า</t>
  </si>
  <si>
    <t>ชื่อ</t>
  </si>
  <si>
    <t>สกุล</t>
  </si>
  <si>
    <t>อัตราค่าแรง</t>
  </si>
  <si>
    <t>เริ่มทำงาน</t>
  </si>
  <si>
    <t>หมายเหตุ</t>
  </si>
  <si>
    <t>รวม OT</t>
  </si>
  <si>
    <t>รวมวันหยุด</t>
  </si>
  <si>
    <t>grade66</t>
  </si>
  <si>
    <t>ลากิจ</t>
  </si>
  <si>
    <t>ม.ค</t>
  </si>
  <si>
    <t>OT</t>
  </si>
  <si>
    <t>วันหยุด</t>
  </si>
  <si>
    <t>ก.พ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</si>
  <si>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</si>
  <si>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</si>
  <si>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</si>
  <si>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</si>
  <si>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</si>
  <si>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</si>
  <si>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</si>
  <si>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</t>
  </si>
  <si>
    <t>พ.ย.</t>
  </si>
  <si>
    <t>ธ.ค</t>
  </si>
  <si>
    <t>รวมวันทำงาน</t>
  </si>
  <si>
    <t>น.ส.</t>
  </si>
  <si>
    <t>ชิติมา</t>
  </si>
  <si>
    <t>กตัญญู</t>
  </si>
  <si>
    <t>ออฟฟิศ</t>
  </si>
  <si>
    <t>นาง</t>
  </si>
  <si>
    <t>พรพิมล</t>
  </si>
  <si>
    <t>มั่นทอง</t>
  </si>
  <si>
    <t>แสงงาม</t>
  </si>
  <si>
    <t>สะราคำ</t>
  </si>
  <si>
    <t>สโตร์</t>
  </si>
  <si>
    <t>นาย</t>
  </si>
  <si>
    <t>กิตติศักดิ์</t>
  </si>
  <si>
    <t>ศรีสำปทวน</t>
  </si>
  <si>
    <t>351</t>
  </si>
  <si>
    <t>แผนกอัดหมวก</t>
  </si>
  <si>
    <t>เกรียงไกร</t>
  </si>
  <si>
    <t>พึ่งพวก</t>
  </si>
  <si>
    <t>ขับรถ</t>
  </si>
  <si>
    <t>คมสัน</t>
  </si>
  <si>
    <t>บุญมา</t>
  </si>
  <si>
    <t>แผนกสี</t>
  </si>
  <si>
    <t>จารุวรรณ</t>
  </si>
  <si>
    <t>เปี่ยมเสน</t>
  </si>
  <si>
    <t>ทั่วไป</t>
  </si>
  <si>
    <t>จิราภรณ์</t>
  </si>
  <si>
    <t>สิงห์บุตร</t>
  </si>
  <si>
    <t>ชยันต์</t>
  </si>
  <si>
    <t>บุญจันทร์</t>
  </si>
  <si>
    <t>ชุติมา</t>
  </si>
  <si>
    <t>นวลศรีไพร</t>
  </si>
  <si>
    <t>หัวหน้าสโตร์</t>
  </si>
  <si>
    <t>ชูชาติ</t>
  </si>
  <si>
    <t>ไหมทอง</t>
  </si>
  <si>
    <t>หัวหน้าแผนกสี</t>
  </si>
  <si>
    <t>ณรงค์</t>
  </si>
  <si>
    <t>เปี่ยมสิน</t>
  </si>
  <si>
    <t>ไฟฟ้า</t>
  </si>
  <si>
    <t>ณวัศพงษ์</t>
  </si>
  <si>
    <t>สิทธิวิโรฒโภคิน</t>
  </si>
  <si>
    <t>ณัฐวุฒิ</t>
  </si>
  <si>
    <t>กุลแจ</t>
  </si>
  <si>
    <t>แผนกตัดผ้า</t>
  </si>
  <si>
    <t>ดนัย</t>
  </si>
  <si>
    <t>ทองชื่น</t>
  </si>
  <si>
    <t>ติ่ง</t>
  </si>
  <si>
    <t>นาคสังข์</t>
  </si>
  <si>
    <t>ทิม</t>
  </si>
  <si>
    <t>บุญมาทัน</t>
  </si>
  <si>
    <t>ธงชัย</t>
  </si>
  <si>
    <t>โพธิ์หิรัญ</t>
  </si>
  <si>
    <t>ธนงค์พร</t>
  </si>
  <si>
    <t>อ่อนคำ</t>
  </si>
  <si>
    <t>นิรุต</t>
  </si>
  <si>
    <t>บัดกรี</t>
  </si>
  <si>
    <t>แถวอุทุม</t>
  </si>
  <si>
    <t>545</t>
  </si>
  <si>
    <t>R&amp;D</t>
  </si>
  <si>
    <t>บุญเลิศ</t>
  </si>
  <si>
    <t>อินสุข</t>
  </si>
  <si>
    <t>บุญส่ง</t>
  </si>
  <si>
    <t>ดวงเหม</t>
  </si>
  <si>
    <t>ประชา</t>
  </si>
  <si>
    <t>วรวงษ์</t>
  </si>
  <si>
    <t>พัชรวัฒน์</t>
  </si>
  <si>
    <t>หัวหน้าแผนกอัดหมวก</t>
  </si>
  <si>
    <t>ไพฑูรย์</t>
  </si>
  <si>
    <t>ป้องเรือ</t>
  </si>
  <si>
    <t>437</t>
  </si>
  <si>
    <t>หัวหน้าแผนกตัดผ้า</t>
  </si>
  <si>
    <t>มนิต</t>
  </si>
  <si>
    <t>เปี่ยมศิลป์</t>
  </si>
  <si>
    <t>วิทูรย์</t>
  </si>
  <si>
    <t>แผนกตัด+ขับรถ</t>
  </si>
  <si>
    <t>เวียง</t>
  </si>
  <si>
    <t>น้ำทิพย์</t>
  </si>
  <si>
    <t>สมพงษ์</t>
  </si>
  <si>
    <t>พึ่งแย้ม</t>
  </si>
  <si>
    <t>สิงห์พันธ์ม่วง</t>
  </si>
  <si>
    <t>สังวาลย์</t>
  </si>
  <si>
    <t>เพ็งผล</t>
  </si>
  <si>
    <t>สาธิต</t>
  </si>
  <si>
    <t>คล้ายสอน</t>
  </si>
  <si>
    <t>สำเนา</t>
  </si>
  <si>
    <t>เอี่ยมสะอาด</t>
  </si>
  <si>
    <t>สำราญ</t>
  </si>
  <si>
    <t>เข็มเงิน</t>
  </si>
  <si>
    <t>หัวหน้าซ่อมบำรุง</t>
  </si>
  <si>
    <t>สุชัย</t>
  </si>
  <si>
    <t>ใจเย็น</t>
  </si>
  <si>
    <t>สุทน</t>
  </si>
  <si>
    <t>ธัญญเจริญ</t>
  </si>
  <si>
    <t>สุนีย์</t>
  </si>
  <si>
    <t>สุวิชา</t>
  </si>
  <si>
    <t>จ้อยชู</t>
  </si>
  <si>
    <t>สุวิทย์</t>
  </si>
  <si>
    <t>โฮมแพน</t>
  </si>
  <si>
    <t>อภิเชษฐ์</t>
  </si>
  <si>
    <t>ทั่งทอง</t>
  </si>
  <si>
    <t>อำนวย</t>
  </si>
  <si>
    <t>พานทอง</t>
  </si>
  <si>
    <t>เย็บผ้า</t>
  </si>
  <si>
    <t>กัลยา</t>
  </si>
  <si>
    <t>กัลยาภัสร์</t>
  </si>
  <si>
    <t>กิ่งกาญจน์</t>
  </si>
  <si>
    <t>จันทร์สุรีย์</t>
  </si>
  <si>
    <t>ชลิดา</t>
  </si>
  <si>
    <t>ใจชื่น</t>
  </si>
  <si>
    <t>ตรีเนตร</t>
  </si>
  <si>
    <t>คูสุวรรณ์</t>
  </si>
  <si>
    <t>น้ำอ้อย</t>
  </si>
  <si>
    <t>อุ่มแสง</t>
  </si>
  <si>
    <t>ประไพ</t>
  </si>
  <si>
    <t>ประเสริฐ</t>
  </si>
  <si>
    <t>กลั่นเรือง</t>
  </si>
  <si>
    <t>หัวหน้าแผนกเย็บผ้า</t>
  </si>
  <si>
    <t>พิชิตา</t>
  </si>
  <si>
    <t>ทองดี</t>
  </si>
  <si>
    <t>พิม</t>
  </si>
  <si>
    <t>มามี</t>
  </si>
  <si>
    <t>แม่บ้านโรงงาน+ทั่วไป</t>
  </si>
  <si>
    <t>ภูวนัส</t>
  </si>
  <si>
    <t>มณเฑียร</t>
  </si>
  <si>
    <t>รุ่งนภา</t>
  </si>
  <si>
    <t>ลัดดา</t>
  </si>
  <si>
    <t>ลาคร</t>
  </si>
  <si>
    <t>วสันต์</t>
  </si>
  <si>
    <t>หัวหน้าแผนก</t>
  </si>
  <si>
    <t>แวว</t>
  </si>
  <si>
    <t>มิ่งสกุล</t>
  </si>
  <si>
    <t>ศักดิ์</t>
  </si>
  <si>
    <t>ศิรินาถ</t>
  </si>
  <si>
    <t>พลนิล</t>
  </si>
  <si>
    <t>ศิริพร</t>
  </si>
  <si>
    <t>โพธิ์สุวรรณ</t>
  </si>
  <si>
    <t>ศิริรัตน์</t>
  </si>
  <si>
    <t>สถาพร</t>
  </si>
  <si>
    <t>โฉมเชิด</t>
  </si>
  <si>
    <t>สายทอง</t>
  </si>
  <si>
    <t>ชอบรส</t>
  </si>
  <si>
    <t>สิทธิชัย</t>
  </si>
  <si>
    <t>สุพรรษา</t>
  </si>
  <si>
    <t>กาฬภักดี</t>
  </si>
  <si>
    <t>สุเมต</t>
  </si>
  <si>
    <t>เผือกผ่อง</t>
  </si>
  <si>
    <t>สุรีรัตน์</t>
  </si>
  <si>
    <t>พุ่มโพธิ์</t>
  </si>
  <si>
    <t>สุวรรณ</t>
  </si>
  <si>
    <t>รุ่งเรือง</t>
  </si>
  <si>
    <t>เสมียนโรงเย็บ</t>
  </si>
  <si>
    <t>สำรอง</t>
  </si>
  <si>
    <t>แม่บ้าน</t>
  </si>
  <si>
    <t>หวัน</t>
  </si>
  <si>
    <t>ใจวกุล</t>
  </si>
  <si>
    <t>อร่าม</t>
  </si>
  <si>
    <t>อัญชลี</t>
  </si>
  <si>
    <t>อุบลรัตน์</t>
  </si>
  <si>
    <t>สุรีพร</t>
  </si>
  <si>
    <t>นันทพร</t>
  </si>
  <si>
    <t>สุภาผล</t>
  </si>
  <si>
    <t>ปาจารี</t>
  </si>
  <si>
    <t>สายะศิลปี</t>
  </si>
  <si>
    <t>อินทร์หอม</t>
  </si>
  <si>
    <t>บริษัท ช.ไพศาล จำกัด</t>
  </si>
  <si>
    <t>ผลประเมิน</t>
  </si>
  <si>
    <t>ผลคะแนน</t>
  </si>
  <si>
    <t>สรุป</t>
  </si>
  <si>
    <t>A</t>
  </si>
  <si>
    <t/>
  </si>
  <si>
    <t>B+</t>
  </si>
  <si>
    <t>A-</t>
  </si>
  <si>
    <t>B</t>
  </si>
  <si>
    <t>C+</t>
  </si>
  <si>
    <t>สะสม</t>
  </si>
  <si>
    <t>นามสกุล</t>
  </si>
  <si>
    <t>ป่วย</t>
  </si>
  <si>
    <t>กิจ</t>
  </si>
  <si>
    <t>กิจพิเศษ</t>
  </si>
  <si>
    <t>ขาด</t>
  </si>
  <si>
    <t>พักร้อน</t>
  </si>
  <si>
    <t>สาย</t>
  </si>
  <si>
    <t>สรุปวันลาพนักงาน</t>
  </si>
  <si>
    <t>#</t>
  </si>
  <si>
    <t>ชลันดา</t>
  </si>
  <si>
    <t>350</t>
  </si>
  <si>
    <t>เจ้</t>
  </si>
  <si>
    <t>กู๋กวง</t>
  </si>
  <si>
    <t>ประเสริฐ์</t>
  </si>
  <si>
    <t>สรุปผลประเมิน ปี 2568</t>
  </si>
  <si>
    <t xml:space="preserve">บริษัท ช. ไพศาล จำกัด  </t>
  </si>
  <si>
    <t>ประเมินผลปี  2568  ( ตั้งแต่ 2 ม.ค. - 30 ธ.ค. 2568)</t>
  </si>
  <si>
    <t>358</t>
  </si>
  <si>
    <t>420</t>
  </si>
  <si>
    <t>348</t>
  </si>
  <si>
    <t>418</t>
  </si>
  <si>
    <t>363</t>
  </si>
  <si>
    <t>567</t>
  </si>
  <si>
    <t>447</t>
  </si>
  <si>
    <t>380</t>
  </si>
  <si>
    <t>483</t>
  </si>
  <si>
    <t>439</t>
  </si>
  <si>
    <t>362</t>
  </si>
  <si>
    <t>647</t>
  </si>
  <si>
    <t>349</t>
  </si>
  <si>
    <t>352</t>
  </si>
  <si>
    <t>354</t>
  </si>
  <si>
    <t>465</t>
  </si>
  <si>
    <t>จุ้ยเปี่ยม</t>
  </si>
  <si>
    <t>หิรัญวงษ์</t>
  </si>
  <si>
    <t>ขุนทอง</t>
  </si>
  <si>
    <t>กระแหน่</t>
  </si>
  <si>
    <t>ปี 2568</t>
  </si>
  <si>
    <t>กาญจนา</t>
  </si>
  <si>
    <t>นิรัตน์</t>
  </si>
  <si>
    <t>ขวัญใจ</t>
  </si>
  <si>
    <t>นพรัตน์</t>
  </si>
  <si>
    <t>ธมลวรรณ</t>
  </si>
  <si>
    <t>ขวัญจิรา</t>
  </si>
  <si>
    <t xml:space="preserve">สรุปวันลา </t>
  </si>
  <si>
    <t>สาย (นาที)</t>
  </si>
  <si>
    <t>รวม</t>
  </si>
  <si>
    <t>ราชวงศ์</t>
  </si>
  <si>
    <t>ทำไม่ถึงปี</t>
  </si>
  <si>
    <t>แผนกสำหรับคำนวน</t>
  </si>
  <si>
    <t>แผนก (สูตรที่ใช้)</t>
  </si>
  <si>
    <t>OT SEWING</t>
  </si>
  <si>
    <t>OT PAINT</t>
  </si>
  <si>
    <t>5</t>
  </si>
  <si>
    <t>7</t>
  </si>
  <si>
    <t>8</t>
  </si>
  <si>
    <t>6</t>
  </si>
  <si>
    <t>9</t>
  </si>
  <si>
    <t>4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</si>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</sst>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_-* #,##0.00_-;\-* #,##0.00_-;_-* &quot;-&quot;??_-;_-@_-"/>
    <numFmt numFmtId="165" formatCode="_-* #,##0.0_-;\-* #,##0.0_-;_-* &quot;-&quot;??_-;_-@_-"/>
    <numFmt numFmtId="166" formatCode="0.0"/>
    <numFmt numFmtId="167" formatCode="mmmm\ bb"/>
    <numFmt numFmtId="168" formatCode="[h]:mm"/>
    <numFmt numFmtId="169" formatCode="_-* #,##0_-;\-* #,##0_-;_-* &quot;-&quot;??_-;_-@_-"/>
    <numFmt numFmtId="170" formatCode="mmm"/>
    <numFmt numFmtId="171" formatCode="mmmm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Angsana New"/>
      <family val="1"/>
    </font>
    <font>
      <sz val="14"/>
      <name val="Angsana New"/>
      <family val="1"/>
    </font>
    <font>
      <sz val="14"/>
      <color theme="1"/>
      <name val="Angsana New"/>
      <family val="1"/>
    </font>
    <font>
      <sz val="14"/>
      <name val="Cordia New"/>
      <family val="2"/>
    </font>
    <font>
      <b/>
      <sz val="14"/>
      <name val="Angsana New"/>
      <family val="1"/>
    </font>
    <font>
      <b/>
      <sz val="14"/>
      <color indexed="8"/>
      <name val="Angsana New"/>
      <family val="1"/>
    </font>
    <font>
      <b/>
      <sz val="12"/>
      <color indexed="8"/>
      <name val="Angsana New"/>
      <family val="1"/>
    </font>
    <font>
      <b/>
      <sz val="12"/>
      <name val="Angsana New"/>
      <family val="1"/>
    </font>
    <font>
      <sz val="10"/>
      <name val="Arial"/>
      <family val="2"/>
    </font>
    <font>
      <sz val="14"/>
      <color indexed="8"/>
      <name val="Angsana New"/>
      <family val="1"/>
    </font>
    <font>
      <b/>
      <sz val="16"/>
      <name val="Angsana New"/>
      <family val="1"/>
      <charset val="222"/>
    </font>
    <font>
      <sz val="16"/>
      <name val="Angsana New"/>
      <family val="1"/>
    </font>
    <font>
      <sz val="11"/>
      <name val="Calibri"/>
      <family val="2"/>
      <scheme val="minor"/>
    </font>
    <font>
      <sz val="10"/>
      <color theme="1"/>
      <name val="Microsoft Sans Serif"/>
      <family val="2"/>
      <charset val="222"/>
    </font>
    <font>
      <sz val="10"/>
      <color indexed="8"/>
      <name val="Microsoft Sans Serif"/>
      <family val="2"/>
      <charset val="222"/>
    </font>
    <font>
      <sz val="14"/>
      <color indexed="30"/>
      <name val="Microsoft Sans Serif"/>
      <family val="2"/>
      <charset val="222"/>
    </font>
    <font>
      <sz val="10"/>
      <color indexed="30"/>
      <name val="Microsoft Sans Serif"/>
      <family val="2"/>
      <charset val="222"/>
    </font>
    <font>
      <b/>
      <sz val="10"/>
      <color indexed="8"/>
      <name val="Microsoft Sans Serif"/>
      <family val="2"/>
      <charset val="222"/>
    </font>
    <font>
      <sz val="14"/>
      <color rgb="FFFF0000"/>
      <name val="Angsana New"/>
      <family val="1"/>
    </font>
    <font>
      <sz val="18"/>
      <color rgb="FFFF0000"/>
      <name val="Angsana New"/>
      <family val="1"/>
    </font>
    <font>
      <sz val="14"/>
      <color indexed="30"/>
      <name val="Angsana New"/>
      <family val="1"/>
    </font>
    <font>
      <b/>
      <sz val="14"/>
      <color theme="1"/>
      <name val="Angsana New"/>
      <family val="1"/>
    </font>
    <font>
      <sz val="11"/>
      <color theme="1"/>
      <name val="Calibri"/>
      <family val="2"/>
      <charset val="222"/>
      <scheme val="minor"/>
    </font>
    <font>
      <sz val="14"/>
      <color theme="1"/>
      <name val="AngsanaUPC"/>
      <family val="2"/>
      <charset val="222"/>
    </font>
    <font>
      <sz val="14"/>
      <color rgb="FFFFFF00"/>
      <name val="AngsanaUPC"/>
      <family val="2"/>
      <charset val="222"/>
    </font>
    <font>
      <b/>
      <sz val="14"/>
      <color rgb="FFFF0000"/>
      <name val="AngsanaUPC"/>
      <family val="1"/>
      <charset val="222"/>
    </font>
    <font>
      <sz val="11"/>
      <color theme="1"/>
      <name val="Tahoma"/>
      <family val="2"/>
    </font>
    <font>
      <sz val="11"/>
      <color theme="1"/>
      <name val="Tahoma"/>
      <family val="2"/>
    </font>
    <font>
      <sz val="8"/>
      <color rgb="FF0F1115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theme="0" tint="-0.499984740745262"/>
      </bottom>
      <diagonal/>
    </border>
    <border>
      <left style="thin">
        <color indexed="64"/>
      </left>
      <right style="thin">
        <color indexed="64"/>
      </right>
      <top style="dotted">
        <color theme="0" tint="-0.499984740745262"/>
      </top>
      <bottom style="dotted">
        <color theme="0" tint="-0.499984740745262"/>
      </bottom>
      <diagonal/>
    </border>
    <border>
      <left style="thin">
        <color indexed="64"/>
      </left>
      <right style="thin">
        <color indexed="64"/>
      </right>
      <top style="dotted">
        <color theme="0" tint="-0.499984740745262"/>
      </top>
      <bottom style="thin">
        <color indexed="64"/>
      </bottom>
      <diagonal/>
    </border>
    <border>
      <left style="thin">
        <color indexed="64"/>
      </left>
      <right/>
      <top style="dotted">
        <color theme="0" tint="-0.499984740745262"/>
      </top>
      <bottom style="dotted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dotted">
        <color theme="0" tint="-0.499984740745262"/>
      </bottom>
      <diagonal/>
    </border>
  </borders>
  <cellStyleXfs count="13">
    <xf numFmtId="0" fontId="0" fillId="0" borderId="0"/>
    <xf numFmtId="0" fontId="5" fillId="0" borderId="0"/>
    <xf numFmtId="0" fontId="10" fillId="0" borderId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5" fillId="0" borderId="0"/>
    <xf numFmtId="164" fontId="16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24" fillId="0" borderId="0"/>
    <xf numFmtId="164" fontId="24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8" fillId="0" borderId="0"/>
    <xf numFmtId="164" fontId="29" fillId="0" borderId="0" applyFont="0" applyFill="0" applyBorder="0" applyAlignment="0" applyProtection="0"/>
  </cellStyleXfs>
  <cellXfs count="254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8" fillId="0" borderId="2" xfId="1" applyFont="1" applyBorder="1" applyAlignment="1">
      <alignment horizontal="center"/>
    </xf>
    <xf numFmtId="0" fontId="8" fillId="0" borderId="3" xfId="1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3" xfId="1" applyFont="1" applyBorder="1" applyAlignment="1">
      <alignment horizontal="center"/>
    </xf>
    <xf numFmtId="14" fontId="6" fillId="0" borderId="3" xfId="1" applyNumberFormat="1" applyFont="1" applyBorder="1" applyAlignment="1">
      <alignment horizontal="center"/>
    </xf>
    <xf numFmtId="0" fontId="3" fillId="0" borderId="4" xfId="2" applyFont="1" applyBorder="1" applyAlignment="1">
      <alignment horizontal="center" vertical="center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3" fontId="3" fillId="0" borderId="7" xfId="3" applyNumberFormat="1" applyFont="1" applyFill="1" applyBorder="1" applyAlignment="1">
      <alignment horizontal="center" vertical="center"/>
    </xf>
    <xf numFmtId="14" fontId="4" fillId="0" borderId="8" xfId="0" applyNumberFormat="1" applyFont="1" applyBorder="1" applyAlignment="1">
      <alignment horizontal="center"/>
    </xf>
    <xf numFmtId="0" fontId="3" fillId="0" borderId="9" xfId="1" applyFont="1" applyBorder="1" applyAlignment="1">
      <alignment horizontal="center"/>
    </xf>
    <xf numFmtId="0" fontId="3" fillId="0" borderId="10" xfId="3" applyFont="1" applyFill="1" applyBorder="1" applyAlignment="1">
      <alignment horizontal="center" vertical="center"/>
    </xf>
    <xf numFmtId="0" fontId="3" fillId="0" borderId="11" xfId="3" applyFont="1" applyFill="1" applyBorder="1" applyAlignment="1">
      <alignment horizontal="center" vertical="center"/>
    </xf>
    <xf numFmtId="0" fontId="3" fillId="0" borderId="12" xfId="3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3" fillId="0" borderId="14" xfId="3" applyFont="1" applyFill="1" applyBorder="1" applyAlignment="1">
      <alignment horizontal="center" vertical="center"/>
    </xf>
    <xf numFmtId="0" fontId="11" fillId="0" borderId="13" xfId="1" applyFont="1" applyBorder="1" applyAlignment="1">
      <alignment horizontal="center"/>
    </xf>
    <xf numFmtId="0" fontId="11" fillId="0" borderId="8" xfId="1" applyFont="1" applyBorder="1" applyAlignment="1">
      <alignment horizontal="center"/>
    </xf>
    <xf numFmtId="0" fontId="11" fillId="0" borderId="15" xfId="1" applyFont="1" applyBorder="1" applyAlignment="1">
      <alignment horizontal="center"/>
    </xf>
    <xf numFmtId="0" fontId="3" fillId="0" borderId="13" xfId="1" applyFont="1" applyBorder="1" applyAlignment="1">
      <alignment horizontal="center"/>
    </xf>
    <xf numFmtId="0" fontId="3" fillId="0" borderId="8" xfId="1" applyFont="1" applyBorder="1" applyAlignment="1">
      <alignment horizontal="center"/>
    </xf>
    <xf numFmtId="0" fontId="3" fillId="0" borderId="15" xfId="1" applyFont="1" applyBorder="1" applyAlignment="1">
      <alignment horizontal="center"/>
    </xf>
    <xf numFmtId="0" fontId="3" fillId="0" borderId="12" xfId="1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6" xfId="0" applyBorder="1" applyAlignment="1">
      <alignment horizontal="center"/>
    </xf>
    <xf numFmtId="0" fontId="4" fillId="0" borderId="18" xfId="0" applyFont="1" applyBorder="1" applyAlignment="1">
      <alignment horizontal="left"/>
    </xf>
    <xf numFmtId="3" fontId="3" fillId="0" borderId="19" xfId="3" applyNumberFormat="1" applyFont="1" applyFill="1" applyBorder="1" applyAlignment="1">
      <alignment horizontal="center" vertical="center"/>
    </xf>
    <xf numFmtId="14" fontId="4" fillId="0" borderId="10" xfId="0" applyNumberFormat="1" applyFont="1" applyBorder="1" applyAlignment="1">
      <alignment horizontal="center"/>
    </xf>
    <xf numFmtId="0" fontId="3" fillId="0" borderId="20" xfId="1" applyFont="1" applyBorder="1" applyAlignment="1">
      <alignment horizontal="center"/>
    </xf>
    <xf numFmtId="0" fontId="3" fillId="0" borderId="16" xfId="3" applyFont="1" applyFill="1" applyBorder="1" applyAlignment="1">
      <alignment horizontal="center" vertical="center"/>
    </xf>
    <xf numFmtId="0" fontId="3" fillId="0" borderId="21" xfId="3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/>
    </xf>
    <xf numFmtId="0" fontId="3" fillId="0" borderId="9" xfId="3" applyFont="1" applyFill="1" applyBorder="1" applyAlignment="1">
      <alignment horizontal="center" vertical="center"/>
    </xf>
    <xf numFmtId="0" fontId="3" fillId="0" borderId="17" xfId="3" applyFont="1" applyFill="1" applyBorder="1" applyAlignment="1">
      <alignment horizontal="center" vertical="center"/>
    </xf>
    <xf numFmtId="0" fontId="11" fillId="0" borderId="21" xfId="1" applyFont="1" applyBorder="1" applyAlignment="1">
      <alignment horizontal="center"/>
    </xf>
    <xf numFmtId="0" fontId="11" fillId="0" borderId="11" xfId="1" applyFont="1" applyBorder="1" applyAlignment="1">
      <alignment horizontal="center"/>
    </xf>
    <xf numFmtId="0" fontId="11" fillId="0" borderId="12" xfId="1" applyFont="1" applyBorder="1" applyAlignment="1">
      <alignment horizontal="center"/>
    </xf>
    <xf numFmtId="0" fontId="11" fillId="0" borderId="14" xfId="1" applyFont="1" applyBorder="1" applyAlignment="1">
      <alignment horizontal="center"/>
    </xf>
    <xf numFmtId="0" fontId="11" fillId="0" borderId="10" xfId="1" applyFont="1" applyBorder="1" applyAlignment="1">
      <alignment horizontal="center"/>
    </xf>
    <xf numFmtId="0" fontId="11" fillId="0" borderId="22" xfId="1" applyFont="1" applyBorder="1" applyAlignment="1">
      <alignment horizontal="center"/>
    </xf>
    <xf numFmtId="0" fontId="3" fillId="0" borderId="14" xfId="1" applyFont="1" applyBorder="1" applyAlignment="1">
      <alignment horizontal="center"/>
    </xf>
    <xf numFmtId="0" fontId="3" fillId="0" borderId="10" xfId="1" applyFont="1" applyBorder="1" applyAlignment="1">
      <alignment horizontal="center"/>
    </xf>
    <xf numFmtId="0" fontId="3" fillId="0" borderId="22" xfId="1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14" fontId="4" fillId="0" borderId="11" xfId="0" applyNumberFormat="1" applyFont="1" applyBorder="1" applyAlignment="1">
      <alignment horizontal="center"/>
    </xf>
    <xf numFmtId="0" fontId="3" fillId="0" borderId="22" xfId="3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4" fillId="0" borderId="23" xfId="0" applyFont="1" applyBorder="1" applyAlignment="1">
      <alignment horizontal="left"/>
    </xf>
    <xf numFmtId="49" fontId="3" fillId="0" borderId="7" xfId="2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14" xfId="2" applyFont="1" applyBorder="1" applyAlignment="1">
      <alignment horizontal="center" vertical="center"/>
    </xf>
    <xf numFmtId="0" fontId="3" fillId="0" borderId="22" xfId="2" applyFont="1" applyBorder="1" applyAlignment="1">
      <alignment horizontal="center" vertical="center"/>
    </xf>
    <xf numFmtId="0" fontId="3" fillId="0" borderId="10" xfId="2" applyFont="1" applyBorder="1" applyAlignment="1">
      <alignment horizontal="center" vertical="center"/>
    </xf>
    <xf numFmtId="0" fontId="4" fillId="0" borderId="24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left"/>
    </xf>
    <xf numFmtId="49" fontId="3" fillId="0" borderId="19" xfId="2" applyNumberFormat="1" applyFont="1" applyBorder="1" applyAlignment="1">
      <alignment horizontal="center" vertical="center"/>
    </xf>
    <xf numFmtId="0" fontId="3" fillId="0" borderId="24" xfId="3" applyFont="1" applyFill="1" applyBorder="1" applyAlignment="1">
      <alignment horizontal="center" vertical="center"/>
    </xf>
    <xf numFmtId="0" fontId="3" fillId="0" borderId="25" xfId="3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>
      <alignment horizontal="center"/>
    </xf>
    <xf numFmtId="49" fontId="3" fillId="0" borderId="27" xfId="2" applyNumberFormat="1" applyFont="1" applyBorder="1" applyAlignment="1">
      <alignment horizontal="center" vertical="center"/>
    </xf>
    <xf numFmtId="0" fontId="4" fillId="0" borderId="28" xfId="0" applyFont="1" applyBorder="1" applyAlignment="1">
      <alignment horizontal="center"/>
    </xf>
    <xf numFmtId="0" fontId="3" fillId="0" borderId="21" xfId="2" applyFont="1" applyBorder="1" applyAlignment="1">
      <alignment horizontal="center" vertical="center"/>
    </xf>
    <xf numFmtId="0" fontId="3" fillId="0" borderId="12" xfId="2" applyFont="1" applyBorder="1" applyAlignment="1">
      <alignment horizontal="center" vertical="center"/>
    </xf>
    <xf numFmtId="0" fontId="3" fillId="0" borderId="11" xfId="2" applyFont="1" applyBorder="1" applyAlignment="1">
      <alignment horizontal="center" vertical="center"/>
    </xf>
    <xf numFmtId="0" fontId="3" fillId="0" borderId="25" xfId="1" applyFont="1" applyBorder="1" applyAlignment="1">
      <alignment horizontal="center"/>
    </xf>
    <xf numFmtId="14" fontId="4" fillId="0" borderId="24" xfId="0" applyNumberFormat="1" applyFont="1" applyBorder="1" applyAlignment="1">
      <alignment horizontal="center"/>
    </xf>
    <xf numFmtId="0" fontId="3" fillId="0" borderId="9" xfId="2" applyFont="1" applyBorder="1" applyAlignment="1">
      <alignment horizontal="center" vertical="center"/>
    </xf>
    <xf numFmtId="0" fontId="3" fillId="0" borderId="17" xfId="2" applyFont="1" applyBorder="1" applyAlignment="1">
      <alignment horizontal="center" vertical="center"/>
    </xf>
    <xf numFmtId="0" fontId="3" fillId="0" borderId="16" xfId="2" applyFont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7" xfId="1" applyFont="1" applyBorder="1" applyAlignment="1">
      <alignment horizontal="center"/>
    </xf>
    <xf numFmtId="0" fontId="3" fillId="0" borderId="16" xfId="1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19" xfId="2" applyFont="1" applyBorder="1" applyAlignment="1">
      <alignment horizontal="center" vertical="center"/>
    </xf>
    <xf numFmtId="0" fontId="3" fillId="0" borderId="29" xfId="2" applyFont="1" applyBorder="1" applyAlignment="1">
      <alignment horizontal="center" vertical="center"/>
    </xf>
    <xf numFmtId="0" fontId="3" fillId="0" borderId="7" xfId="2" applyFont="1" applyBorder="1" applyAlignment="1">
      <alignment horizontal="center" vertical="center"/>
    </xf>
    <xf numFmtId="0" fontId="4" fillId="0" borderId="30" xfId="0" applyFont="1" applyBorder="1" applyAlignment="1">
      <alignment horizontal="center"/>
    </xf>
    <xf numFmtId="49" fontId="3" fillId="0" borderId="29" xfId="2" applyNumberFormat="1" applyFont="1" applyBorder="1" applyAlignment="1">
      <alignment horizontal="center" vertical="center"/>
    </xf>
    <xf numFmtId="0" fontId="3" fillId="0" borderId="19" xfId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21" xfId="1" applyFont="1" applyBorder="1" applyAlignment="1">
      <alignment horizontal="center"/>
    </xf>
    <xf numFmtId="0" fontId="3" fillId="0" borderId="11" xfId="1" applyFont="1" applyBorder="1" applyAlignment="1">
      <alignment horizontal="center"/>
    </xf>
    <xf numFmtId="0" fontId="3" fillId="0" borderId="20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3" fillId="0" borderId="23" xfId="0" applyFont="1" applyBorder="1" applyAlignment="1">
      <alignment horizontal="left"/>
    </xf>
    <xf numFmtId="14" fontId="3" fillId="0" borderId="10" xfId="0" applyNumberFormat="1" applyFont="1" applyBorder="1" applyAlignment="1">
      <alignment horizontal="center"/>
    </xf>
    <xf numFmtId="0" fontId="3" fillId="0" borderId="26" xfId="0" applyFont="1" applyBorder="1" applyAlignment="1">
      <alignment horizontal="left"/>
    </xf>
    <xf numFmtId="0" fontId="3" fillId="0" borderId="29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11" fillId="0" borderId="19" xfId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31" xfId="1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39" fontId="12" fillId="0" borderId="0" xfId="2" applyNumberFormat="1" applyFont="1" applyAlignment="1">
      <alignment horizontal="left" vertical="center"/>
    </xf>
    <xf numFmtId="0" fontId="12" fillId="0" borderId="0" xfId="2" applyFont="1" applyAlignment="1">
      <alignment vertical="center"/>
    </xf>
    <xf numFmtId="0" fontId="13" fillId="0" borderId="0" xfId="2" applyFont="1" applyAlignment="1">
      <alignment vertical="center"/>
    </xf>
    <xf numFmtId="0" fontId="12" fillId="0" borderId="0" xfId="0" applyFont="1" applyAlignment="1">
      <alignment horizontal="center"/>
    </xf>
    <xf numFmtId="0" fontId="6" fillId="2" borderId="1" xfId="1" applyFont="1" applyFill="1" applyBorder="1" applyAlignment="1">
      <alignment horizontal="center"/>
    </xf>
    <xf numFmtId="0" fontId="14" fillId="2" borderId="1" xfId="0" applyFont="1" applyFill="1" applyBorder="1"/>
    <xf numFmtId="0" fontId="14" fillId="2" borderId="1" xfId="0" applyFont="1" applyFill="1" applyBorder="1" applyAlignment="1">
      <alignment horizontal="center"/>
    </xf>
    <xf numFmtId="0" fontId="4" fillId="0" borderId="1" xfId="2" applyFont="1" applyBorder="1" applyAlignment="1">
      <alignment horizontal="center" vertical="center"/>
    </xf>
    <xf numFmtId="0" fontId="4" fillId="0" borderId="1" xfId="3" applyFont="1" applyFill="1" applyBorder="1" applyAlignment="1">
      <alignment horizontal="center" vertical="center"/>
    </xf>
    <xf numFmtId="166" fontId="14" fillId="2" borderId="1" xfId="0" applyNumberFormat="1" applyFont="1" applyFill="1" applyBorder="1"/>
    <xf numFmtId="49" fontId="4" fillId="0" borderId="1" xfId="2" applyNumberFormat="1" applyFont="1" applyBorder="1" applyAlignment="1">
      <alignment horizontal="center" vertical="center"/>
    </xf>
    <xf numFmtId="167" fontId="3" fillId="0" borderId="0" xfId="2" applyNumberFormat="1" applyFont="1" applyAlignment="1">
      <alignment horizontal="center" vertical="center"/>
    </xf>
    <xf numFmtId="168" fontId="3" fillId="0" borderId="0" xfId="2" applyNumberFormat="1" applyFont="1" applyAlignment="1">
      <alignment horizontal="center" vertical="center"/>
    </xf>
    <xf numFmtId="169" fontId="3" fillId="0" borderId="0" xfId="6" applyNumberFormat="1" applyFont="1" applyFill="1" applyBorder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3" fillId="0" borderId="30" xfId="2" applyFont="1" applyBorder="1" applyAlignment="1">
      <alignment vertical="center"/>
    </xf>
    <xf numFmtId="168" fontId="3" fillId="0" borderId="22" xfId="2" applyNumberFormat="1" applyFont="1" applyBorder="1" applyAlignment="1">
      <alignment horizontal="center" vertical="center"/>
    </xf>
    <xf numFmtId="165" fontId="3" fillId="0" borderId="19" xfId="6" applyNumberFormat="1" applyFont="1" applyFill="1" applyBorder="1" applyAlignment="1" applyProtection="1">
      <alignment horizontal="center" vertical="center"/>
    </xf>
    <xf numFmtId="165" fontId="3" fillId="0" borderId="10" xfId="6" applyNumberFormat="1" applyFont="1" applyFill="1" applyBorder="1" applyAlignment="1" applyProtection="1">
      <alignment horizontal="center" vertical="center"/>
    </xf>
    <xf numFmtId="169" fontId="3" fillId="0" borderId="11" xfId="6" applyNumberFormat="1" applyFont="1" applyFill="1" applyBorder="1" applyAlignment="1" applyProtection="1">
      <alignment horizontal="center" vertical="center"/>
    </xf>
    <xf numFmtId="20" fontId="20" fillId="0" borderId="23" xfId="2" applyNumberFormat="1" applyFont="1" applyBorder="1" applyAlignment="1">
      <alignment horizontal="center" vertical="center"/>
    </xf>
    <xf numFmtId="165" fontId="4" fillId="0" borderId="10" xfId="6" applyNumberFormat="1" applyFont="1" applyFill="1" applyBorder="1" applyAlignment="1" applyProtection="1">
      <alignment horizontal="center" vertical="center"/>
    </xf>
    <xf numFmtId="168" fontId="3" fillId="0" borderId="12" xfId="2" applyNumberFormat="1" applyFont="1" applyBorder="1" applyAlignment="1">
      <alignment horizontal="center" vertical="center"/>
    </xf>
    <xf numFmtId="168" fontId="3" fillId="0" borderId="5" xfId="2" applyNumberFormat="1" applyFont="1" applyBorder="1" applyAlignment="1">
      <alignment horizontal="center" vertical="center"/>
    </xf>
    <xf numFmtId="0" fontId="3" fillId="0" borderId="33" xfId="2" applyFont="1" applyBorder="1" applyAlignment="1">
      <alignment vertical="center"/>
    </xf>
    <xf numFmtId="169" fontId="3" fillId="0" borderId="10" xfId="6" applyNumberFormat="1" applyFont="1" applyFill="1" applyBorder="1" applyAlignment="1" applyProtection="1">
      <alignment horizontal="center" vertical="center"/>
    </xf>
    <xf numFmtId="20" fontId="20" fillId="0" borderId="26" xfId="2" applyNumberFormat="1" applyFont="1" applyBorder="1" applyAlignment="1">
      <alignment horizontal="center" vertical="center"/>
    </xf>
    <xf numFmtId="0" fontId="3" fillId="0" borderId="0" xfId="2" applyFont="1" applyAlignment="1">
      <alignment vertical="center"/>
    </xf>
    <xf numFmtId="0" fontId="3" fillId="0" borderId="34" xfId="2" applyFont="1" applyBorder="1" applyAlignment="1">
      <alignment vertical="center"/>
    </xf>
    <xf numFmtId="0" fontId="3" fillId="0" borderId="26" xfId="2" applyFont="1" applyBorder="1" applyAlignment="1">
      <alignment vertical="center"/>
    </xf>
    <xf numFmtId="168" fontId="3" fillId="0" borderId="20" xfId="2" applyNumberFormat="1" applyFont="1" applyBorder="1" applyAlignment="1">
      <alignment horizontal="center" vertical="center"/>
    </xf>
    <xf numFmtId="0" fontId="3" fillId="0" borderId="35" xfId="2" applyFont="1" applyBorder="1" applyAlignment="1">
      <alignment horizontal="center" vertical="center"/>
    </xf>
    <xf numFmtId="39" fontId="13" fillId="0" borderId="0" xfId="2" applyNumberFormat="1" applyFont="1" applyAlignment="1">
      <alignment horizontal="left" vertical="center"/>
    </xf>
    <xf numFmtId="167" fontId="3" fillId="0" borderId="0" xfId="2" applyNumberFormat="1" applyFont="1" applyAlignment="1">
      <alignment vertical="center"/>
    </xf>
    <xf numFmtId="0" fontId="22" fillId="0" borderId="0" xfId="2" applyFont="1" applyAlignment="1">
      <alignment horizontal="center" vertical="center"/>
    </xf>
    <xf numFmtId="39" fontId="22" fillId="0" borderId="0" xfId="2" applyNumberFormat="1" applyFont="1" applyAlignment="1">
      <alignment horizontal="center" vertical="center"/>
    </xf>
    <xf numFmtId="39" fontId="22" fillId="0" borderId="0" xfId="2" applyNumberFormat="1" applyFont="1" applyAlignment="1">
      <alignment horizontal="centerContinuous" vertical="center"/>
    </xf>
    <xf numFmtId="0" fontId="6" fillId="0" borderId="36" xfId="2" applyFont="1" applyBorder="1" applyAlignment="1">
      <alignment horizontal="center" vertical="center"/>
    </xf>
    <xf numFmtId="39" fontId="6" fillId="0" borderId="38" xfId="2" applyNumberFormat="1" applyFont="1" applyBorder="1" applyAlignment="1">
      <alignment horizontal="center" vertical="center"/>
    </xf>
    <xf numFmtId="39" fontId="6" fillId="0" borderId="39" xfId="2" applyNumberFormat="1" applyFont="1" applyBorder="1" applyAlignment="1">
      <alignment horizontal="center" vertical="center"/>
    </xf>
    <xf numFmtId="39" fontId="6" fillId="0" borderId="36" xfId="2" applyNumberFormat="1" applyFont="1" applyBorder="1" applyAlignment="1">
      <alignment horizontal="center" vertical="center"/>
    </xf>
    <xf numFmtId="39" fontId="9" fillId="0" borderId="36" xfId="2" applyNumberFormat="1" applyFont="1" applyBorder="1" applyAlignment="1">
      <alignment horizontal="center" vertical="center"/>
    </xf>
    <xf numFmtId="168" fontId="6" fillId="0" borderId="39" xfId="2" applyNumberFormat="1" applyFont="1" applyBorder="1" applyAlignment="1">
      <alignment horizontal="center" vertical="center"/>
    </xf>
    <xf numFmtId="169" fontId="6" fillId="0" borderId="40" xfId="6" applyNumberFormat="1" applyFont="1" applyFill="1" applyBorder="1" applyAlignment="1" applyProtection="1">
      <alignment horizontal="center" vertical="center"/>
    </xf>
    <xf numFmtId="169" fontId="6" fillId="0" borderId="36" xfId="6" applyNumberFormat="1" applyFont="1" applyFill="1" applyBorder="1" applyAlignment="1" applyProtection="1">
      <alignment horizontal="center" vertical="center"/>
    </xf>
    <xf numFmtId="169" fontId="9" fillId="0" borderId="36" xfId="6" applyNumberFormat="1" applyFont="1" applyFill="1" applyBorder="1" applyAlignment="1" applyProtection="1">
      <alignment horizontal="center" vertical="center"/>
    </xf>
    <xf numFmtId="0" fontId="6" fillId="0" borderId="41" xfId="1" applyFont="1" applyBorder="1" applyAlignment="1">
      <alignment horizontal="center"/>
    </xf>
    <xf numFmtId="0" fontId="6" fillId="0" borderId="36" xfId="1" applyFont="1" applyBorder="1" applyAlignment="1">
      <alignment horizontal="center"/>
    </xf>
    <xf numFmtId="0" fontId="4" fillId="0" borderId="42" xfId="0" applyFont="1" applyBorder="1" applyAlignment="1">
      <alignment horizontal="left"/>
    </xf>
    <xf numFmtId="0" fontId="3" fillId="0" borderId="19" xfId="0" applyFont="1" applyBorder="1"/>
    <xf numFmtId="0" fontId="3" fillId="0" borderId="14" xfId="0" applyFont="1" applyBorder="1"/>
    <xf numFmtId="0" fontId="3" fillId="0" borderId="26" xfId="0" applyFont="1" applyBorder="1"/>
    <xf numFmtId="0" fontId="4" fillId="0" borderId="43" xfId="0" applyFont="1" applyBorder="1" applyAlignment="1">
      <alignment horizontal="left"/>
    </xf>
    <xf numFmtId="0" fontId="3" fillId="0" borderId="45" xfId="2" applyFont="1" applyBorder="1" applyAlignment="1">
      <alignment horizontal="center" vertical="center"/>
    </xf>
    <xf numFmtId="0" fontId="3" fillId="0" borderId="31" xfId="0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43" xfId="0" applyFont="1" applyBorder="1"/>
    <xf numFmtId="0" fontId="3" fillId="0" borderId="5" xfId="0" applyFont="1" applyBorder="1"/>
    <xf numFmtId="0" fontId="3" fillId="0" borderId="7" xfId="0" applyFont="1" applyBorder="1"/>
    <xf numFmtId="0" fontId="3" fillId="0" borderId="16" xfId="0" applyFont="1" applyBorder="1"/>
    <xf numFmtId="0" fontId="3" fillId="0" borderId="31" xfId="0" applyFont="1" applyBorder="1"/>
    <xf numFmtId="0" fontId="3" fillId="0" borderId="46" xfId="0" applyFont="1" applyBorder="1"/>
    <xf numFmtId="0" fontId="3" fillId="0" borderId="47" xfId="0" applyFont="1" applyBorder="1" applyAlignment="1">
      <alignment horizontal="center"/>
    </xf>
    <xf numFmtId="0" fontId="4" fillId="0" borderId="50" xfId="0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0" fontId="4" fillId="0" borderId="49" xfId="0" applyFont="1" applyBorder="1" applyAlignment="1">
      <alignment horizontal="center"/>
    </xf>
    <xf numFmtId="0" fontId="3" fillId="0" borderId="50" xfId="0" applyFont="1" applyBorder="1" applyAlignment="1">
      <alignment horizontal="center"/>
    </xf>
    <xf numFmtId="0" fontId="3" fillId="0" borderId="48" xfId="0" applyFont="1" applyBorder="1" applyAlignment="1">
      <alignment horizontal="center"/>
    </xf>
    <xf numFmtId="0" fontId="3" fillId="0" borderId="49" xfId="0" applyFont="1" applyBorder="1" applyAlignment="1">
      <alignment horizontal="center"/>
    </xf>
    <xf numFmtId="0" fontId="11" fillId="0" borderId="50" xfId="1" applyFont="1" applyBorder="1" applyAlignment="1">
      <alignment horizontal="center"/>
    </xf>
    <xf numFmtId="0" fontId="11" fillId="0" borderId="48" xfId="1" applyFont="1" applyBorder="1" applyAlignment="1">
      <alignment horizontal="center"/>
    </xf>
    <xf numFmtId="0" fontId="11" fillId="0" borderId="49" xfId="1" applyFont="1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  <xf numFmtId="0" fontId="3" fillId="0" borderId="44" xfId="0" applyFont="1" applyBorder="1"/>
    <xf numFmtId="0" fontId="3" fillId="0" borderId="51" xfId="0" applyFont="1" applyBorder="1" applyAlignment="1">
      <alignment horizontal="center"/>
    </xf>
    <xf numFmtId="0" fontId="23" fillId="0" borderId="1" xfId="1" applyFont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0" fontId="4" fillId="3" borderId="1" xfId="2" applyFont="1" applyFill="1" applyBorder="1" applyAlignment="1">
      <alignment horizontal="center" vertical="center"/>
    </xf>
    <xf numFmtId="165" fontId="3" fillId="0" borderId="7" xfId="3" applyNumberFormat="1" applyFont="1" applyFill="1" applyBorder="1" applyAlignment="1">
      <alignment horizontal="center" vertical="center"/>
    </xf>
    <xf numFmtId="165" fontId="3" fillId="0" borderId="19" xfId="3" applyNumberFormat="1" applyFont="1" applyFill="1" applyBorder="1" applyAlignment="1">
      <alignment horizontal="center" vertical="center"/>
    </xf>
    <xf numFmtId="0" fontId="3" fillId="0" borderId="19" xfId="3" applyFont="1" applyFill="1" applyBorder="1" applyAlignment="1">
      <alignment horizontal="center" vertical="center"/>
    </xf>
    <xf numFmtId="165" fontId="3" fillId="0" borderId="14" xfId="3" applyNumberFormat="1" applyFont="1" applyFill="1" applyBorder="1" applyAlignment="1">
      <alignment horizontal="center" vertical="center"/>
    </xf>
    <xf numFmtId="165" fontId="3" fillId="0" borderId="0" xfId="3" applyNumberFormat="1" applyFont="1" applyFill="1" applyBorder="1" applyAlignment="1">
      <alignment horizontal="center" vertical="center"/>
    </xf>
    <xf numFmtId="165" fontId="3" fillId="0" borderId="0" xfId="3" applyNumberFormat="1" applyFont="1" applyFill="1" applyAlignment="1">
      <alignment horizontal="center" vertical="center"/>
    </xf>
    <xf numFmtId="0" fontId="3" fillId="0" borderId="48" xfId="3" applyFont="1" applyFill="1" applyBorder="1" applyAlignment="1">
      <alignment horizontal="center" vertical="center"/>
    </xf>
    <xf numFmtId="0" fontId="3" fillId="0" borderId="49" xfId="3" applyFont="1" applyFill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0" borderId="0" xfId="0" applyFont="1"/>
    <xf numFmtId="0" fontId="19" fillId="0" borderId="0" xfId="0" applyFont="1" applyAlignment="1">
      <alignment horizontal="center"/>
    </xf>
    <xf numFmtId="168" fontId="6" fillId="0" borderId="53" xfId="2" applyNumberFormat="1" applyFont="1" applyBorder="1" applyAlignment="1">
      <alignment horizontal="center" vertical="center"/>
    </xf>
    <xf numFmtId="0" fontId="21" fillId="0" borderId="0" xfId="0" applyFont="1"/>
    <xf numFmtId="0" fontId="4" fillId="0" borderId="0" xfId="0" applyFont="1" applyAlignment="1">
      <alignment horizontal="left"/>
    </xf>
    <xf numFmtId="0" fontId="3" fillId="0" borderId="5" xfId="0" applyFont="1" applyBorder="1" applyAlignment="1">
      <alignment horizontal="left"/>
    </xf>
    <xf numFmtId="171" fontId="0" fillId="0" borderId="0" xfId="0" applyNumberFormat="1" applyAlignment="1">
      <alignment horizontal="center"/>
    </xf>
    <xf numFmtId="164" fontId="25" fillId="0" borderId="0" xfId="10" applyFont="1" applyAlignment="1">
      <alignment horizontal="center"/>
    </xf>
    <xf numFmtId="171" fontId="26" fillId="4" borderId="1" xfId="0" applyNumberFormat="1" applyFont="1" applyFill="1" applyBorder="1" applyAlignment="1">
      <alignment horizontal="center"/>
    </xf>
    <xf numFmtId="164" fontId="25" fillId="0" borderId="1" xfId="10" applyFont="1" applyBorder="1" applyAlignment="1">
      <alignment horizontal="center"/>
    </xf>
    <xf numFmtId="171" fontId="0" fillId="0" borderId="54" xfId="0" applyNumberFormat="1" applyBorder="1" applyAlignment="1">
      <alignment horizontal="center"/>
    </xf>
    <xf numFmtId="164" fontId="25" fillId="0" borderId="54" xfId="10" applyFont="1" applyBorder="1" applyAlignment="1">
      <alignment horizontal="center"/>
    </xf>
    <xf numFmtId="20" fontId="25" fillId="0" borderId="54" xfId="10" applyNumberFormat="1" applyFont="1" applyBorder="1" applyAlignment="1">
      <alignment horizontal="center"/>
    </xf>
    <xf numFmtId="0" fontId="0" fillId="0" borderId="54" xfId="0" applyBorder="1" applyAlignment="1">
      <alignment horizontal="center"/>
    </xf>
    <xf numFmtId="20" fontId="25" fillId="0" borderId="55" xfId="10" applyNumberFormat="1" applyFont="1" applyBorder="1" applyAlignment="1">
      <alignment horizontal="center"/>
    </xf>
    <xf numFmtId="171" fontId="0" fillId="0" borderId="55" xfId="0" applyNumberFormat="1" applyBorder="1" applyAlignment="1">
      <alignment horizontal="center"/>
    </xf>
    <xf numFmtId="164" fontId="25" fillId="0" borderId="55" xfId="1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56" xfId="0" applyBorder="1" applyAlignment="1">
      <alignment horizontal="center"/>
    </xf>
    <xf numFmtId="164" fontId="25" fillId="0" borderId="56" xfId="10" applyFont="1" applyBorder="1" applyAlignment="1">
      <alignment horizontal="center"/>
    </xf>
    <xf numFmtId="171" fontId="0" fillId="0" borderId="56" xfId="0" applyNumberFormat="1" applyBorder="1" applyAlignment="1">
      <alignment horizontal="center"/>
    </xf>
    <xf numFmtId="20" fontId="25" fillId="0" borderId="56" xfId="10" applyNumberFormat="1" applyFont="1" applyBorder="1" applyAlignment="1">
      <alignment horizontal="center"/>
    </xf>
    <xf numFmtId="171" fontId="27" fillId="0" borderId="48" xfId="0" applyNumberFormat="1" applyFont="1" applyBorder="1" applyAlignment="1">
      <alignment horizontal="center"/>
    </xf>
    <xf numFmtId="164" fontId="27" fillId="0" borderId="48" xfId="10" applyFont="1" applyBorder="1" applyAlignment="1">
      <alignment horizontal="center"/>
    </xf>
    <xf numFmtId="20" fontId="27" fillId="0" borderId="48" xfId="10" applyNumberFormat="1" applyFont="1" applyBorder="1" applyAlignment="1">
      <alignment horizontal="center"/>
    </xf>
    <xf numFmtId="164" fontId="25" fillId="0" borderId="57" xfId="10" applyFont="1" applyBorder="1" applyAlignment="1">
      <alignment horizontal="center"/>
    </xf>
    <xf numFmtId="20" fontId="25" fillId="0" borderId="58" xfId="10" applyNumberFormat="1" applyFont="1" applyBorder="1" applyAlignment="1">
      <alignment horizontal="center"/>
    </xf>
    <xf numFmtId="0" fontId="4" fillId="0" borderId="1" xfId="5" applyFont="1" applyBorder="1" applyAlignment="1">
      <alignment horizontal="left"/>
    </xf>
    <xf numFmtId="0" fontId="3" fillId="0" borderId="44" xfId="2" applyFont="1" applyBorder="1" applyAlignment="1">
      <alignment horizontal="center" vertical="center"/>
    </xf>
    <xf numFmtId="0" fontId="30" fillId="5" borderId="1" xfId="0" applyFont="1" applyFill="1" applyBorder="1" applyAlignment="1">
      <alignment horizontal="right" vertical="center" wrapText="1" indent="1"/>
    </xf>
    <xf numFmtId="0" fontId="0" fillId="6" borderId="0" xfId="0" applyFill="1"/>
    <xf numFmtId="0" fontId="0" fillId="6" borderId="1" xfId="0" applyFill="1" applyBorder="1"/>
    <xf numFmtId="164" fontId="25" fillId="0" borderId="54" xfId="9" applyFont="1" applyBorder="1" applyAlignment="1">
      <alignment horizontal="center"/>
    </xf>
    <xf numFmtId="164" fontId="25" fillId="0" borderId="0" xfId="9" applyFont="1" applyAlignment="1">
      <alignment horizontal="center"/>
    </xf>
    <xf numFmtId="20" fontId="25" fillId="0" borderId="55" xfId="9" applyNumberFormat="1" applyFont="1" applyBorder="1" applyAlignment="1">
      <alignment horizontal="center"/>
    </xf>
    <xf numFmtId="164" fontId="25" fillId="0" borderId="55" xfId="9" applyFont="1" applyBorder="1" applyAlignment="1">
      <alignment horizontal="center"/>
    </xf>
    <xf numFmtId="164" fontId="25" fillId="0" borderId="56" xfId="9" applyFont="1" applyBorder="1" applyAlignment="1">
      <alignment horizontal="center"/>
    </xf>
    <xf numFmtId="0" fontId="2" fillId="0" borderId="0" xfId="0" applyFont="1" applyAlignment="1">
      <alignment horizontal="left"/>
    </xf>
    <xf numFmtId="170" fontId="17" fillId="0" borderId="32" xfId="0" applyNumberFormat="1" applyFont="1" applyBorder="1" applyAlignment="1">
      <alignment horizontal="center" vertical="center"/>
    </xf>
    <xf numFmtId="170" fontId="17" fillId="0" borderId="52" xfId="0" applyNumberFormat="1" applyFont="1" applyBorder="1" applyAlignment="1">
      <alignment horizontal="center" vertical="center"/>
    </xf>
    <xf numFmtId="39" fontId="6" fillId="0" borderId="37" xfId="2" applyNumberFormat="1" applyFont="1" applyBorder="1" applyAlignment="1">
      <alignment horizontal="center" vertical="center"/>
    </xf>
    <xf numFmtId="39" fontId="6" fillId="0" borderId="38" xfId="2" applyNumberFormat="1" applyFont="1" applyBorder="1" applyAlignment="1">
      <alignment horizontal="center" vertical="center"/>
    </xf>
  </cellXfs>
  <cellStyles count="13">
    <cellStyle name="Comma" xfId="10" builtinId="3"/>
    <cellStyle name="Comma 2" xfId="3" xr:uid="{1CB12E4A-6E57-4D01-B4DD-CE0A4405A6E3}"/>
    <cellStyle name="Comma 2 2" xfId="4" xr:uid="{4C75D0AD-17CB-41CB-9348-EDE01EB11939}"/>
    <cellStyle name="Comma 2 3" xfId="6" xr:uid="{99840913-8E93-40EF-BA9E-D1345C859FA9}"/>
    <cellStyle name="Comma 3" xfId="7" xr:uid="{D91E6846-AA1A-4FA2-8720-32A044B77A9D}"/>
    <cellStyle name="Comma 4" xfId="9" xr:uid="{4801DCD3-BFEC-498F-BE8F-9311F67644A3}"/>
    <cellStyle name="Comma 5" xfId="12" xr:uid="{684294F1-ECFF-48D0-87DC-7DC14D6D9437}"/>
    <cellStyle name="Normal" xfId="0" builtinId="0"/>
    <cellStyle name="Normal 2" xfId="2" xr:uid="{5C033086-11E5-4B15-91C5-BDF1AAF7ED6F}"/>
    <cellStyle name="Normal 3" xfId="5" xr:uid="{18CC657B-267A-4B8F-9377-0FC8C1AA6F88}"/>
    <cellStyle name="Normal 4" xfId="8" xr:uid="{48361D86-F289-4F4D-B045-06A1DC073AE0}"/>
    <cellStyle name="Normal 5" xfId="11" xr:uid="{6E46B903-F9A3-4A98-BB6D-D36CA764EBF1}"/>
    <cellStyle name="ปกติ_Sheet1" xfId="1" xr:uid="{6EEAE8C4-22D1-480C-8BB8-1EAACEA69D1C}"/>
  </cellStyles>
  <dxfs count="1">
    <dxf>
      <fill>
        <patternFill>
          <bgColor indexed="10"/>
        </patternFill>
      </fill>
    </dxf>
  </dxfs>
  <tableStyles count="1" defaultTableStyle="TableStyleMedium2" defaultPivotStyle="PivotStyleLight16">
    <tableStyle name="Invisible" pivot="0" table="0" count="0" xr9:uid="{A521EF73-C48D-44D8-A40B-629FDC33722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BA8BC-9F63-4D52-9F5F-5D5EE04109DF}">
  <sheetPr codeName="Sheet1"/>
  <dimension ref="A1:AC93"/>
  <sheetViews>
    <sheetView tabSelected="1" zoomScale="85" zoomScaleNormal="85" workbookViewId="0">
      <pane xSplit="4" ySplit="4" topLeftCell="E85" activePane="bottomRight" state="frozen"/>
      <selection pane="topRight" activeCell="E1" sqref="E1"/>
      <selection pane="bottomLeft" activeCell="A5" sqref="A5"/>
      <selection pane="bottomRight" activeCell="E87" sqref="E87:F93"/>
    </sheetView>
  </sheetViews>
  <sheetFormatPr defaultRowHeight="14.5"/>
  <cols>
    <col min="3" max="3" width="10.453125" customWidth="1"/>
    <col min="4" max="4" width="12.26953125" customWidth="1"/>
    <col min="5" max="11" width="9.7265625" bestFit="1" customWidth="1"/>
    <col min="17" max="17" width="9.7265625" bestFit="1" customWidth="1"/>
    <col min="20" max="20" width="9.7265625" hidden="1" customWidth="1"/>
    <col min="21" max="27" width="9.453125" hidden="1" customWidth="1"/>
    <col min="28" max="29" width="0" hidden="1" customWidth="1"/>
  </cols>
  <sheetData>
    <row r="1" spans="1:29" ht="23">
      <c r="A1" s="122" t="s">
        <v>188</v>
      </c>
      <c r="B1" s="122"/>
    </row>
    <row r="2" spans="1:29" ht="23">
      <c r="A2" s="123" t="s">
        <v>213</v>
      </c>
      <c r="B2" s="123"/>
      <c r="D2" s="124"/>
    </row>
    <row r="3" spans="1:29" ht="23">
      <c r="A3" s="125" t="s">
        <v>6</v>
      </c>
      <c r="B3" s="125"/>
    </row>
    <row r="4" spans="1:29" ht="20.5">
      <c r="A4" s="126" t="s">
        <v>0</v>
      </c>
      <c r="B4" s="126" t="s">
        <v>1</v>
      </c>
      <c r="C4" s="126" t="s">
        <v>2</v>
      </c>
      <c r="D4" s="126" t="s">
        <v>3</v>
      </c>
      <c r="E4" s="200" t="s">
        <v>210</v>
      </c>
      <c r="F4" s="200" t="s">
        <v>211</v>
      </c>
      <c r="G4" s="200" t="s">
        <v>150</v>
      </c>
      <c r="H4" s="200" t="s">
        <v>151</v>
      </c>
      <c r="I4" s="200" t="s">
        <v>212</v>
      </c>
      <c r="J4" s="200" t="s">
        <v>89</v>
      </c>
      <c r="K4" s="200" t="s">
        <v>110</v>
      </c>
      <c r="L4" s="200" t="s">
        <v>79</v>
      </c>
      <c r="M4" s="200" t="s">
        <v>101</v>
      </c>
      <c r="N4" s="200" t="s">
        <v>70</v>
      </c>
      <c r="O4" s="200" t="s">
        <v>57</v>
      </c>
      <c r="P4" s="200" t="s">
        <v>106</v>
      </c>
      <c r="Q4" s="200" t="s">
        <v>91</v>
      </c>
      <c r="T4" s="127" t="s">
        <v>189</v>
      </c>
      <c r="U4" s="127" t="s">
        <v>190</v>
      </c>
      <c r="V4" s="127" t="s">
        <v>190</v>
      </c>
      <c r="W4" s="127" t="s">
        <v>190</v>
      </c>
      <c r="X4" s="127" t="s">
        <v>190</v>
      </c>
      <c r="Y4" s="127" t="s">
        <v>190</v>
      </c>
      <c r="Z4" s="127" t="s">
        <v>190</v>
      </c>
      <c r="AA4" s="127" t="s">
        <v>190</v>
      </c>
      <c r="AB4" s="128" t="s">
        <v>191</v>
      </c>
      <c r="AC4" s="127" t="s">
        <v>9</v>
      </c>
    </row>
    <row r="5" spans="1:29" ht="20">
      <c r="A5" s="129">
        <v>1</v>
      </c>
      <c r="B5" s="119" t="s">
        <v>26</v>
      </c>
      <c r="C5" s="119" t="s">
        <v>27</v>
      </c>
      <c r="D5" s="119" t="s">
        <v>28</v>
      </c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T5" s="127" t="s">
        <v>192</v>
      </c>
      <c r="U5" s="127" t="s">
        <v>193</v>
      </c>
      <c r="V5" s="127" t="s">
        <v>193</v>
      </c>
      <c r="W5" s="127" t="s">
        <v>193</v>
      </c>
      <c r="X5" s="127" t="s">
        <v>193</v>
      </c>
      <c r="Y5" s="127" t="s">
        <v>193</v>
      </c>
      <c r="Z5" s="127" t="s">
        <v>193</v>
      </c>
      <c r="AA5" s="127">
        <v>12</v>
      </c>
      <c r="AB5" s="131">
        <v>12</v>
      </c>
      <c r="AC5" s="127" t="s">
        <v>192</v>
      </c>
    </row>
    <row r="6" spans="1:29" ht="20">
      <c r="A6" s="129">
        <v>2</v>
      </c>
      <c r="B6" s="119" t="s">
        <v>30</v>
      </c>
      <c r="C6" s="119" t="s">
        <v>31</v>
      </c>
      <c r="D6" s="119" t="s">
        <v>32</v>
      </c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T6" s="127" t="s">
        <v>192</v>
      </c>
      <c r="U6" s="127">
        <v>12</v>
      </c>
      <c r="V6" s="127" t="s">
        <v>193</v>
      </c>
      <c r="W6" s="127" t="s">
        <v>193</v>
      </c>
      <c r="X6" s="127" t="s">
        <v>193</v>
      </c>
      <c r="Y6" s="127" t="s">
        <v>193</v>
      </c>
      <c r="Z6" s="127" t="s">
        <v>193</v>
      </c>
      <c r="AA6" s="127">
        <v>12</v>
      </c>
      <c r="AB6" s="131">
        <v>12</v>
      </c>
      <c r="AC6" s="127" t="s">
        <v>192</v>
      </c>
    </row>
    <row r="7" spans="1:29" ht="20">
      <c r="A7" s="129">
        <v>3</v>
      </c>
      <c r="B7" s="119" t="s">
        <v>26</v>
      </c>
      <c r="C7" s="119" t="s">
        <v>33</v>
      </c>
      <c r="D7" s="119" t="s">
        <v>34</v>
      </c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0"/>
      <c r="T7" s="127" t="s">
        <v>195</v>
      </c>
      <c r="U7" s="127" t="s">
        <v>193</v>
      </c>
      <c r="V7" s="127" t="s">
        <v>193</v>
      </c>
      <c r="W7" s="127" t="s">
        <v>193</v>
      </c>
      <c r="X7" s="127" t="s">
        <v>193</v>
      </c>
      <c r="Y7" s="127" t="s">
        <v>193</v>
      </c>
      <c r="Z7" s="127" t="s">
        <v>193</v>
      </c>
      <c r="AA7" s="127">
        <v>11</v>
      </c>
      <c r="AB7" s="131">
        <v>11</v>
      </c>
      <c r="AC7" s="127" t="s">
        <v>195</v>
      </c>
    </row>
    <row r="8" spans="1:29" ht="20">
      <c r="A8" s="129">
        <v>5</v>
      </c>
      <c r="B8" s="119" t="s">
        <v>36</v>
      </c>
      <c r="C8" s="119" t="s">
        <v>37</v>
      </c>
      <c r="D8" s="119" t="s">
        <v>38</v>
      </c>
      <c r="E8" s="129"/>
      <c r="F8" s="129">
        <v>9</v>
      </c>
      <c r="G8" s="129"/>
      <c r="H8" s="132"/>
      <c r="I8" s="129"/>
      <c r="J8" s="129">
        <v>8</v>
      </c>
      <c r="K8" s="129">
        <v>8</v>
      </c>
      <c r="L8" s="202">
        <v>9</v>
      </c>
      <c r="M8" s="129"/>
      <c r="N8" s="129"/>
      <c r="O8" s="129"/>
      <c r="P8" s="129"/>
      <c r="Q8" s="129"/>
      <c r="T8" s="127" t="s">
        <v>192</v>
      </c>
      <c r="U8" s="127" t="s">
        <v>193</v>
      </c>
      <c r="V8" s="127" t="s">
        <v>193</v>
      </c>
      <c r="W8" s="127" t="s">
        <v>193</v>
      </c>
      <c r="X8" s="127" t="s">
        <v>193</v>
      </c>
      <c r="Y8" s="127" t="s">
        <v>193</v>
      </c>
      <c r="Z8" s="127" t="s">
        <v>193</v>
      </c>
      <c r="AA8" s="127">
        <v>12</v>
      </c>
      <c r="AB8" s="131">
        <v>12</v>
      </c>
      <c r="AC8" s="127" t="s">
        <v>192</v>
      </c>
    </row>
    <row r="9" spans="1:29" ht="20">
      <c r="A9" s="129">
        <v>6</v>
      </c>
      <c r="B9" s="119" t="s">
        <v>36</v>
      </c>
      <c r="C9" s="119" t="s">
        <v>41</v>
      </c>
      <c r="D9" s="119" t="s">
        <v>42</v>
      </c>
      <c r="E9" s="129"/>
      <c r="F9" s="129">
        <v>5</v>
      </c>
      <c r="G9" s="129"/>
      <c r="H9" s="132"/>
      <c r="I9" s="129"/>
      <c r="J9" s="129"/>
      <c r="K9" s="129"/>
      <c r="L9" s="129"/>
      <c r="M9" s="129"/>
      <c r="N9" s="129"/>
      <c r="O9" s="129"/>
      <c r="P9" s="129"/>
      <c r="Q9" s="129"/>
      <c r="T9" s="127"/>
      <c r="U9" s="127">
        <v>6</v>
      </c>
      <c r="V9" s="127">
        <v>9</v>
      </c>
      <c r="W9" s="127">
        <v>6</v>
      </c>
      <c r="X9" s="127">
        <v>6</v>
      </c>
      <c r="Y9" s="127" t="s">
        <v>193</v>
      </c>
      <c r="Z9" s="127" t="s">
        <v>193</v>
      </c>
      <c r="AA9" s="127" t="s">
        <v>193</v>
      </c>
      <c r="AB9" s="131">
        <v>6.8</v>
      </c>
      <c r="AC9" s="127" t="s">
        <v>197</v>
      </c>
    </row>
    <row r="10" spans="1:29" ht="20">
      <c r="A10" s="129">
        <v>7</v>
      </c>
      <c r="B10" s="119" t="s">
        <v>36</v>
      </c>
      <c r="C10" s="119" t="s">
        <v>44</v>
      </c>
      <c r="D10" s="119" t="s">
        <v>45</v>
      </c>
      <c r="E10" s="129"/>
      <c r="F10" s="129">
        <v>3</v>
      </c>
      <c r="G10" s="129"/>
      <c r="H10" s="132"/>
      <c r="I10" s="129"/>
      <c r="J10" s="129"/>
      <c r="K10" s="129"/>
      <c r="L10" s="129"/>
      <c r="M10" s="129">
        <v>8</v>
      </c>
      <c r="N10" s="129">
        <v>6</v>
      </c>
      <c r="O10" s="129">
        <v>6</v>
      </c>
      <c r="P10" s="129"/>
      <c r="Q10" s="129"/>
      <c r="T10" s="127"/>
      <c r="U10" s="127">
        <v>6</v>
      </c>
      <c r="V10" s="127">
        <v>9</v>
      </c>
      <c r="W10" s="127">
        <v>6</v>
      </c>
      <c r="X10" s="127">
        <v>6</v>
      </c>
      <c r="Y10" s="127" t="s">
        <v>193</v>
      </c>
      <c r="Z10" s="127" t="s">
        <v>193</v>
      </c>
      <c r="AA10" s="127" t="s">
        <v>193</v>
      </c>
      <c r="AB10" s="131">
        <v>6.8</v>
      </c>
      <c r="AC10" s="127" t="s">
        <v>197</v>
      </c>
    </row>
    <row r="11" spans="1:29" ht="20">
      <c r="A11" s="129">
        <v>8</v>
      </c>
      <c r="B11" s="119" t="s">
        <v>26</v>
      </c>
      <c r="C11" s="119" t="s">
        <v>47</v>
      </c>
      <c r="D11" s="119" t="s">
        <v>48</v>
      </c>
      <c r="E11" s="129"/>
      <c r="F11" s="129"/>
      <c r="G11" s="129">
        <v>5</v>
      </c>
      <c r="H11" s="132" t="s">
        <v>252</v>
      </c>
      <c r="I11" s="129">
        <v>4</v>
      </c>
      <c r="J11" s="129"/>
      <c r="K11" s="129"/>
      <c r="L11" s="129"/>
      <c r="M11" s="129"/>
      <c r="N11" s="129"/>
      <c r="O11" s="129"/>
      <c r="P11" s="129"/>
      <c r="Q11" s="129"/>
      <c r="T11" s="127"/>
      <c r="U11" s="127">
        <v>11</v>
      </c>
      <c r="V11" s="127">
        <v>6</v>
      </c>
      <c r="W11" s="127">
        <v>9</v>
      </c>
      <c r="X11" s="127" t="s">
        <v>193</v>
      </c>
      <c r="Y11" s="127" t="s">
        <v>193</v>
      </c>
      <c r="Z11" s="127" t="s">
        <v>193</v>
      </c>
      <c r="AA11" s="127" t="s">
        <v>193</v>
      </c>
      <c r="AB11" s="131">
        <v>8.6999999999999993</v>
      </c>
      <c r="AC11" s="127" t="s">
        <v>196</v>
      </c>
    </row>
    <row r="12" spans="1:29" ht="20">
      <c r="A12" s="129">
        <v>9</v>
      </c>
      <c r="B12" s="119" t="s">
        <v>26</v>
      </c>
      <c r="C12" s="119" t="s">
        <v>50</v>
      </c>
      <c r="D12" s="119" t="s">
        <v>51</v>
      </c>
      <c r="E12" s="129"/>
      <c r="F12" s="129">
        <v>8</v>
      </c>
      <c r="G12" s="129"/>
      <c r="H12" s="132"/>
      <c r="I12" s="129"/>
      <c r="J12" s="129"/>
      <c r="K12" s="129"/>
      <c r="L12" s="129"/>
      <c r="M12" s="129"/>
      <c r="N12" s="129"/>
      <c r="O12" s="129"/>
      <c r="P12" s="129"/>
      <c r="Q12" s="129"/>
      <c r="T12" s="127"/>
      <c r="U12" s="127">
        <v>11</v>
      </c>
      <c r="V12" s="127">
        <v>9</v>
      </c>
      <c r="W12" s="127">
        <v>9</v>
      </c>
      <c r="X12" s="127" t="s">
        <v>193</v>
      </c>
      <c r="Y12" s="127" t="s">
        <v>193</v>
      </c>
      <c r="Z12" s="127" t="s">
        <v>193</v>
      </c>
      <c r="AA12" s="127" t="s">
        <v>193</v>
      </c>
      <c r="AB12" s="131">
        <v>9.6999999999999993</v>
      </c>
      <c r="AC12" s="127" t="s">
        <v>194</v>
      </c>
    </row>
    <row r="13" spans="1:29" ht="20">
      <c r="A13" s="129">
        <v>10</v>
      </c>
      <c r="B13" s="119" t="s">
        <v>36</v>
      </c>
      <c r="C13" s="119" t="s">
        <v>52</v>
      </c>
      <c r="D13" s="119" t="s">
        <v>53</v>
      </c>
      <c r="E13" s="129"/>
      <c r="F13" s="129">
        <v>7</v>
      </c>
      <c r="G13" s="129"/>
      <c r="H13" s="132"/>
      <c r="I13" s="129"/>
      <c r="J13" s="129">
        <v>8</v>
      </c>
      <c r="K13" s="129">
        <v>8</v>
      </c>
      <c r="L13" s="129">
        <v>9</v>
      </c>
      <c r="M13" s="129"/>
      <c r="N13" s="129"/>
      <c r="O13" s="129"/>
      <c r="P13" s="129"/>
      <c r="Q13" s="129"/>
      <c r="T13" s="127" t="s">
        <v>192</v>
      </c>
      <c r="U13" s="127" t="s">
        <v>193</v>
      </c>
      <c r="V13" s="127" t="s">
        <v>193</v>
      </c>
      <c r="W13" s="127" t="s">
        <v>193</v>
      </c>
      <c r="X13" s="127" t="s">
        <v>193</v>
      </c>
      <c r="Y13" s="127" t="s">
        <v>193</v>
      </c>
      <c r="Z13" s="127" t="s">
        <v>193</v>
      </c>
      <c r="AA13" s="127">
        <v>12</v>
      </c>
      <c r="AB13" s="131">
        <v>12</v>
      </c>
      <c r="AC13" s="127" t="s">
        <v>192</v>
      </c>
    </row>
    <row r="14" spans="1:29" ht="20">
      <c r="A14" s="129">
        <v>11</v>
      </c>
      <c r="B14" s="119" t="s">
        <v>30</v>
      </c>
      <c r="C14" s="119" t="s">
        <v>54</v>
      </c>
      <c r="D14" s="119" t="s">
        <v>55</v>
      </c>
      <c r="E14" s="130"/>
      <c r="F14" s="130">
        <v>9</v>
      </c>
      <c r="G14" s="130"/>
      <c r="H14" s="132"/>
      <c r="I14" s="129"/>
      <c r="J14" s="129"/>
      <c r="K14" s="129"/>
      <c r="L14" s="129"/>
      <c r="M14" s="129"/>
      <c r="N14" s="129"/>
      <c r="O14" s="129"/>
      <c r="P14" s="129"/>
      <c r="Q14" s="129"/>
      <c r="T14" s="127" t="s">
        <v>192</v>
      </c>
      <c r="U14" s="127" t="s">
        <v>193</v>
      </c>
      <c r="V14" s="127" t="s">
        <v>193</v>
      </c>
      <c r="W14" s="127" t="s">
        <v>193</v>
      </c>
      <c r="X14" s="127" t="s">
        <v>193</v>
      </c>
      <c r="Y14" s="127" t="s">
        <v>193</v>
      </c>
      <c r="Z14" s="127" t="s">
        <v>193</v>
      </c>
      <c r="AA14" s="127">
        <v>12</v>
      </c>
      <c r="AB14" s="131">
        <v>12</v>
      </c>
      <c r="AC14" s="127" t="s">
        <v>192</v>
      </c>
    </row>
    <row r="15" spans="1:29" ht="20">
      <c r="A15" s="129">
        <v>12</v>
      </c>
      <c r="B15" s="119" t="s">
        <v>36</v>
      </c>
      <c r="C15" s="119" t="s">
        <v>57</v>
      </c>
      <c r="D15" s="119" t="s">
        <v>58</v>
      </c>
      <c r="E15" s="129"/>
      <c r="F15" s="129"/>
      <c r="G15" s="129"/>
      <c r="H15" s="132"/>
      <c r="I15" s="129"/>
      <c r="J15" s="129"/>
      <c r="K15" s="129"/>
      <c r="L15" s="129"/>
      <c r="M15" s="129"/>
      <c r="N15" s="129"/>
      <c r="O15" s="129"/>
      <c r="P15" s="129"/>
      <c r="Q15" s="129"/>
      <c r="T15" s="127" t="s">
        <v>192</v>
      </c>
      <c r="U15" s="127" t="s">
        <v>193</v>
      </c>
      <c r="V15" s="127" t="s">
        <v>193</v>
      </c>
      <c r="W15" s="127" t="s">
        <v>193</v>
      </c>
      <c r="X15" s="127" t="s">
        <v>193</v>
      </c>
      <c r="Y15" s="127" t="s">
        <v>193</v>
      </c>
      <c r="Z15" s="127" t="s">
        <v>193</v>
      </c>
      <c r="AA15" s="127">
        <v>12</v>
      </c>
      <c r="AB15" s="131">
        <v>12</v>
      </c>
      <c r="AC15" s="127" t="s">
        <v>192</v>
      </c>
    </row>
    <row r="16" spans="1:29" ht="20">
      <c r="A16" s="129">
        <v>14</v>
      </c>
      <c r="B16" s="119" t="s">
        <v>36</v>
      </c>
      <c r="C16" s="119" t="s">
        <v>60</v>
      </c>
      <c r="D16" s="119" t="s">
        <v>61</v>
      </c>
      <c r="E16" s="129"/>
      <c r="F16" s="129">
        <v>9</v>
      </c>
      <c r="G16" s="129"/>
      <c r="H16" s="132"/>
      <c r="I16" s="129"/>
      <c r="J16" s="129">
        <v>8</v>
      </c>
      <c r="K16" s="129">
        <v>8</v>
      </c>
      <c r="L16" s="129">
        <v>10</v>
      </c>
      <c r="M16" s="129"/>
      <c r="N16" s="129"/>
      <c r="O16" s="129"/>
      <c r="P16" s="129"/>
      <c r="Q16" s="129"/>
      <c r="T16" s="127" t="s">
        <v>192</v>
      </c>
      <c r="U16" s="127" t="s">
        <v>193</v>
      </c>
      <c r="V16" s="127" t="s">
        <v>193</v>
      </c>
      <c r="W16" s="127" t="s">
        <v>193</v>
      </c>
      <c r="X16" s="127" t="s">
        <v>193</v>
      </c>
      <c r="Y16" s="127" t="s">
        <v>193</v>
      </c>
      <c r="Z16" s="127" t="s">
        <v>193</v>
      </c>
      <c r="AA16" s="127">
        <v>12</v>
      </c>
      <c r="AB16" s="131">
        <v>12</v>
      </c>
      <c r="AC16" s="127" t="s">
        <v>192</v>
      </c>
    </row>
    <row r="17" spans="1:17" ht="20">
      <c r="A17" s="129">
        <v>15</v>
      </c>
      <c r="B17" s="119" t="s">
        <v>36</v>
      </c>
      <c r="C17" s="119" t="s">
        <v>63</v>
      </c>
      <c r="D17" s="119" t="s">
        <v>64</v>
      </c>
      <c r="E17" s="129"/>
      <c r="F17" s="129">
        <v>9</v>
      </c>
      <c r="G17" s="129"/>
      <c r="H17" s="132"/>
      <c r="I17" s="129"/>
      <c r="J17" s="129">
        <v>8</v>
      </c>
      <c r="K17" s="129">
        <v>8</v>
      </c>
      <c r="L17" s="129">
        <v>10</v>
      </c>
      <c r="M17" s="129"/>
      <c r="N17" s="129"/>
      <c r="O17" s="129"/>
      <c r="P17" s="129"/>
      <c r="Q17" s="129"/>
    </row>
    <row r="18" spans="1:17" ht="20">
      <c r="A18" s="129">
        <v>16</v>
      </c>
      <c r="B18" s="119" t="s">
        <v>36</v>
      </c>
      <c r="C18" s="119" t="s">
        <v>65</v>
      </c>
      <c r="D18" s="119" t="s">
        <v>66</v>
      </c>
      <c r="E18" s="129"/>
      <c r="F18" s="129">
        <v>8</v>
      </c>
      <c r="G18" s="129"/>
      <c r="H18" s="132"/>
      <c r="I18" s="129"/>
      <c r="J18" s="129"/>
      <c r="K18" s="129"/>
      <c r="L18" s="129"/>
      <c r="M18" s="129"/>
      <c r="N18" s="129"/>
      <c r="O18" s="129"/>
      <c r="P18" s="129"/>
      <c r="Q18" s="129">
        <v>10</v>
      </c>
    </row>
    <row r="19" spans="1:17" ht="20">
      <c r="A19" s="129">
        <v>17</v>
      </c>
      <c r="B19" s="119" t="s">
        <v>36</v>
      </c>
      <c r="C19" s="119" t="s">
        <v>68</v>
      </c>
      <c r="D19" s="119" t="s">
        <v>69</v>
      </c>
      <c r="E19" s="129"/>
      <c r="F19" s="129">
        <v>8</v>
      </c>
      <c r="G19" s="129"/>
      <c r="H19" s="132"/>
      <c r="I19" s="129"/>
      <c r="J19" s="129"/>
      <c r="K19" s="129"/>
      <c r="L19" s="129"/>
      <c r="M19" s="129"/>
      <c r="N19" s="129"/>
      <c r="O19" s="129"/>
      <c r="P19" s="129"/>
      <c r="Q19" s="129">
        <v>8</v>
      </c>
    </row>
    <row r="20" spans="1:17" ht="20">
      <c r="A20" s="129">
        <v>18</v>
      </c>
      <c r="B20" s="119" t="s">
        <v>36</v>
      </c>
      <c r="C20" s="119" t="s">
        <v>70</v>
      </c>
      <c r="D20" s="119" t="s">
        <v>71</v>
      </c>
      <c r="E20" s="129"/>
      <c r="F20" s="129"/>
      <c r="G20" s="129"/>
      <c r="H20" s="132"/>
      <c r="I20" s="120"/>
      <c r="J20" s="120"/>
      <c r="K20" s="120"/>
      <c r="L20" s="120"/>
      <c r="M20" s="120"/>
      <c r="N20" s="120"/>
      <c r="O20" s="120"/>
      <c r="P20" s="120"/>
      <c r="Q20" s="120"/>
    </row>
    <row r="21" spans="1:17" ht="20">
      <c r="A21" s="129">
        <v>19</v>
      </c>
      <c r="B21" s="119" t="s">
        <v>36</v>
      </c>
      <c r="C21" s="119" t="s">
        <v>72</v>
      </c>
      <c r="D21" s="119" t="s">
        <v>73</v>
      </c>
      <c r="E21" s="129"/>
      <c r="F21" s="129"/>
      <c r="G21" s="129"/>
      <c r="H21" s="132"/>
      <c r="I21" s="120"/>
      <c r="J21" s="120"/>
      <c r="K21" s="120"/>
      <c r="L21" s="120"/>
      <c r="M21" s="120"/>
      <c r="N21" s="120"/>
      <c r="O21" s="120"/>
      <c r="P21" s="120"/>
      <c r="Q21" s="120"/>
    </row>
    <row r="22" spans="1:17" ht="20">
      <c r="A22" s="129">
        <v>20</v>
      </c>
      <c r="B22" s="119" t="s">
        <v>36</v>
      </c>
      <c r="C22" s="119" t="s">
        <v>74</v>
      </c>
      <c r="D22" s="119" t="s">
        <v>75</v>
      </c>
      <c r="E22" s="202"/>
      <c r="F22" s="202">
        <v>9</v>
      </c>
      <c r="G22" s="129"/>
      <c r="H22" s="132"/>
      <c r="I22" s="120"/>
      <c r="J22" s="120"/>
      <c r="K22" s="120"/>
      <c r="L22" s="120"/>
      <c r="M22" s="120">
        <v>10</v>
      </c>
      <c r="N22" s="120">
        <v>7</v>
      </c>
      <c r="O22" s="120">
        <v>8</v>
      </c>
      <c r="P22" s="120"/>
      <c r="Q22" s="120"/>
    </row>
    <row r="23" spans="1:17" ht="20">
      <c r="A23" s="129">
        <v>21</v>
      </c>
      <c r="B23" s="119" t="s">
        <v>36</v>
      </c>
      <c r="C23" s="119" t="s">
        <v>76</v>
      </c>
      <c r="D23" s="119" t="s">
        <v>77</v>
      </c>
      <c r="E23" s="129"/>
      <c r="F23" s="129">
        <v>5</v>
      </c>
      <c r="G23" s="129"/>
      <c r="H23" s="132"/>
      <c r="I23" s="129"/>
      <c r="J23" s="129"/>
      <c r="K23" s="129"/>
      <c r="L23" s="129"/>
      <c r="M23" s="129">
        <v>8</v>
      </c>
      <c r="N23" s="129">
        <v>6</v>
      </c>
      <c r="O23" s="129">
        <v>6</v>
      </c>
      <c r="P23" s="129"/>
      <c r="Q23" s="129"/>
    </row>
    <row r="24" spans="1:17" ht="20">
      <c r="A24" s="129">
        <v>22</v>
      </c>
      <c r="B24" s="119" t="s">
        <v>36</v>
      </c>
      <c r="C24" s="119" t="s">
        <v>78</v>
      </c>
      <c r="D24" s="119" t="s">
        <v>71</v>
      </c>
      <c r="E24" s="129"/>
      <c r="F24" s="202">
        <v>7</v>
      </c>
      <c r="G24" s="129"/>
      <c r="H24" s="132"/>
      <c r="I24" s="129"/>
      <c r="J24" s="129"/>
      <c r="K24" s="129"/>
      <c r="L24" s="129"/>
      <c r="M24" s="129">
        <v>10</v>
      </c>
      <c r="N24" s="129">
        <v>8</v>
      </c>
      <c r="O24" s="129">
        <v>8</v>
      </c>
      <c r="P24" s="129"/>
      <c r="Q24" s="129"/>
    </row>
    <row r="25" spans="1:17" ht="20">
      <c r="A25" s="129">
        <v>23</v>
      </c>
      <c r="B25" s="119" t="s">
        <v>36</v>
      </c>
      <c r="C25" s="119" t="s">
        <v>79</v>
      </c>
      <c r="D25" s="119" t="s">
        <v>80</v>
      </c>
      <c r="E25" s="129"/>
      <c r="F25" s="129"/>
      <c r="G25" s="129"/>
      <c r="H25" s="132"/>
      <c r="I25" s="129"/>
      <c r="J25" s="129"/>
      <c r="K25" s="129"/>
      <c r="L25" s="129"/>
      <c r="M25" s="129"/>
      <c r="N25" s="129"/>
      <c r="O25" s="129"/>
      <c r="P25" s="129"/>
      <c r="Q25" s="129"/>
    </row>
    <row r="26" spans="1:17" ht="20">
      <c r="A26" s="129">
        <v>24</v>
      </c>
      <c r="B26" s="119" t="s">
        <v>36</v>
      </c>
      <c r="C26" s="119" t="s">
        <v>83</v>
      </c>
      <c r="D26" s="119" t="s">
        <v>84</v>
      </c>
      <c r="E26" s="129"/>
      <c r="F26" s="129">
        <v>9</v>
      </c>
      <c r="G26" s="129"/>
      <c r="H26" s="132"/>
      <c r="I26" s="129"/>
      <c r="J26" s="129">
        <v>7</v>
      </c>
      <c r="K26" s="129">
        <v>8</v>
      </c>
      <c r="L26" s="129">
        <v>10</v>
      </c>
      <c r="M26" s="129"/>
      <c r="N26" s="129"/>
      <c r="O26" s="129"/>
      <c r="P26" s="129"/>
      <c r="Q26" s="129"/>
    </row>
    <row r="27" spans="1:17" ht="20">
      <c r="A27" s="129">
        <v>25</v>
      </c>
      <c r="B27" s="119" t="s">
        <v>36</v>
      </c>
      <c r="C27" s="119" t="s">
        <v>85</v>
      </c>
      <c r="D27" s="119" t="s">
        <v>86</v>
      </c>
      <c r="E27" s="129"/>
      <c r="F27" s="202">
        <v>9</v>
      </c>
      <c r="G27" s="129"/>
      <c r="H27" s="132"/>
      <c r="I27" s="129"/>
      <c r="J27" s="129">
        <v>7</v>
      </c>
      <c r="K27" s="129">
        <v>8</v>
      </c>
      <c r="L27" s="202">
        <v>9</v>
      </c>
      <c r="M27" s="129"/>
      <c r="N27" s="129"/>
      <c r="O27" s="129"/>
      <c r="P27" s="129"/>
      <c r="Q27" s="129"/>
    </row>
    <row r="28" spans="1:17" ht="20">
      <c r="A28" s="129">
        <v>26</v>
      </c>
      <c r="B28" s="119" t="s">
        <v>36</v>
      </c>
      <c r="C28" s="119" t="s">
        <v>87</v>
      </c>
      <c r="D28" s="119" t="s">
        <v>88</v>
      </c>
      <c r="E28" s="129"/>
      <c r="F28" s="129">
        <v>4</v>
      </c>
      <c r="G28" s="129"/>
      <c r="H28" s="132"/>
      <c r="I28" s="129"/>
      <c r="J28" s="129"/>
      <c r="K28" s="129"/>
      <c r="L28" s="129"/>
      <c r="M28" s="129">
        <v>8</v>
      </c>
      <c r="N28" s="129">
        <v>6</v>
      </c>
      <c r="O28" s="129">
        <v>6</v>
      </c>
      <c r="P28" s="129"/>
      <c r="Q28" s="129"/>
    </row>
    <row r="29" spans="1:17" ht="20">
      <c r="A29" s="129">
        <v>27</v>
      </c>
      <c r="B29" s="119" t="s">
        <v>36</v>
      </c>
      <c r="C29" s="119" t="s">
        <v>89</v>
      </c>
      <c r="D29" s="119" t="s">
        <v>64</v>
      </c>
      <c r="E29" s="129"/>
      <c r="F29" s="129"/>
      <c r="G29" s="129"/>
      <c r="H29" s="132"/>
      <c r="I29" s="129"/>
      <c r="J29" s="129"/>
      <c r="K29" s="129"/>
      <c r="L29" s="129"/>
      <c r="M29" s="129"/>
      <c r="N29" s="129"/>
      <c r="O29" s="129"/>
      <c r="P29" s="129"/>
      <c r="Q29" s="129"/>
    </row>
    <row r="30" spans="1:17" ht="20">
      <c r="A30" s="129">
        <v>28</v>
      </c>
      <c r="B30" s="119" t="s">
        <v>36</v>
      </c>
      <c r="C30" s="119" t="s">
        <v>91</v>
      </c>
      <c r="D30" s="119" t="s">
        <v>92</v>
      </c>
      <c r="E30" s="129"/>
      <c r="F30" s="129"/>
      <c r="G30" s="129"/>
      <c r="H30" s="132"/>
      <c r="I30" s="129"/>
      <c r="J30" s="129"/>
      <c r="K30" s="129"/>
      <c r="L30" s="129"/>
      <c r="M30" s="129"/>
      <c r="N30" s="129"/>
      <c r="O30" s="129"/>
      <c r="P30" s="129"/>
      <c r="Q30" s="129"/>
    </row>
    <row r="31" spans="1:17" ht="20">
      <c r="A31" s="129">
        <v>29</v>
      </c>
      <c r="B31" s="119" t="s">
        <v>36</v>
      </c>
      <c r="C31" s="119" t="s">
        <v>95</v>
      </c>
      <c r="D31" s="119" t="s">
        <v>96</v>
      </c>
      <c r="E31" s="129"/>
      <c r="F31" s="129"/>
      <c r="G31" s="129">
        <v>6</v>
      </c>
      <c r="H31" s="132" t="s">
        <v>253</v>
      </c>
      <c r="I31" s="129">
        <v>6</v>
      </c>
      <c r="J31" s="129"/>
      <c r="K31" s="129"/>
      <c r="L31" s="129"/>
      <c r="M31" s="129"/>
      <c r="N31" s="129"/>
      <c r="O31" s="129"/>
      <c r="P31" s="129"/>
      <c r="Q31" s="129"/>
    </row>
    <row r="32" spans="1:17" ht="20">
      <c r="A32" s="129">
        <v>32</v>
      </c>
      <c r="B32" s="119" t="s">
        <v>36</v>
      </c>
      <c r="C32" s="119" t="s">
        <v>97</v>
      </c>
      <c r="D32" s="119" t="s">
        <v>69</v>
      </c>
      <c r="E32" s="129"/>
      <c r="F32" s="129">
        <v>5</v>
      </c>
      <c r="G32" s="129"/>
      <c r="H32" s="132"/>
      <c r="I32" s="129"/>
      <c r="J32" s="129"/>
      <c r="K32" s="129"/>
      <c r="L32" s="129"/>
      <c r="M32" s="129"/>
      <c r="N32" s="129"/>
      <c r="O32" s="129"/>
      <c r="P32" s="129"/>
      <c r="Q32" s="129"/>
    </row>
    <row r="33" spans="1:17" ht="20">
      <c r="A33" s="129">
        <v>33</v>
      </c>
      <c r="B33" s="119" t="s">
        <v>36</v>
      </c>
      <c r="C33" s="119" t="s">
        <v>99</v>
      </c>
      <c r="D33" s="119" t="s">
        <v>100</v>
      </c>
      <c r="E33" s="129"/>
      <c r="F33" s="129">
        <v>7</v>
      </c>
      <c r="G33" s="129"/>
      <c r="H33" s="132"/>
      <c r="I33" s="129"/>
      <c r="J33" s="129">
        <v>6</v>
      </c>
      <c r="K33" s="129">
        <v>8</v>
      </c>
      <c r="L33" s="129">
        <v>8</v>
      </c>
      <c r="M33" s="129"/>
      <c r="N33" s="129"/>
      <c r="O33" s="129"/>
      <c r="P33" s="129"/>
      <c r="Q33" s="129"/>
    </row>
    <row r="34" spans="1:17" ht="20">
      <c r="A34" s="129">
        <v>35</v>
      </c>
      <c r="B34" s="201" t="s">
        <v>36</v>
      </c>
      <c r="C34" s="201" t="s">
        <v>101</v>
      </c>
      <c r="D34" s="201" t="s">
        <v>102</v>
      </c>
      <c r="E34" s="202"/>
      <c r="F34" s="129"/>
      <c r="G34" s="129"/>
      <c r="H34" s="132"/>
      <c r="I34" s="129"/>
      <c r="J34" s="129"/>
      <c r="K34" s="129"/>
      <c r="L34" s="129"/>
      <c r="M34" s="129"/>
      <c r="N34" s="129"/>
      <c r="O34" s="129"/>
      <c r="P34" s="129"/>
      <c r="Q34" s="129"/>
    </row>
    <row r="35" spans="1:17" ht="20">
      <c r="A35" s="129">
        <v>36</v>
      </c>
      <c r="B35" s="201" t="s">
        <v>36</v>
      </c>
      <c r="C35" s="201" t="s">
        <v>101</v>
      </c>
      <c r="D35" s="201" t="s">
        <v>103</v>
      </c>
      <c r="E35" s="202"/>
      <c r="F35" s="129">
        <v>3</v>
      </c>
      <c r="G35" s="129"/>
      <c r="H35" s="132"/>
      <c r="I35" s="129"/>
      <c r="J35" s="129"/>
      <c r="K35" s="129"/>
      <c r="L35" s="129"/>
      <c r="M35" s="129"/>
      <c r="N35" s="129"/>
      <c r="O35" s="129"/>
      <c r="P35" s="202"/>
      <c r="Q35" s="202">
        <v>5</v>
      </c>
    </row>
    <row r="36" spans="1:17" ht="20">
      <c r="A36" s="129">
        <v>37</v>
      </c>
      <c r="B36" s="119" t="s">
        <v>36</v>
      </c>
      <c r="C36" s="119" t="s">
        <v>104</v>
      </c>
      <c r="D36" s="119" t="s">
        <v>105</v>
      </c>
      <c r="E36" s="129"/>
      <c r="F36" s="129">
        <v>6</v>
      </c>
      <c r="G36" s="129"/>
      <c r="H36" s="132"/>
      <c r="I36" s="129"/>
      <c r="J36" s="129">
        <v>7</v>
      </c>
      <c r="K36" s="129">
        <v>8</v>
      </c>
      <c r="L36" s="129">
        <v>8</v>
      </c>
      <c r="M36" s="129"/>
      <c r="N36" s="129"/>
      <c r="O36" s="129"/>
      <c r="P36" s="129"/>
      <c r="Q36" s="129"/>
    </row>
    <row r="37" spans="1:17" ht="20">
      <c r="A37" s="129">
        <v>38</v>
      </c>
      <c r="B37" s="119" t="s">
        <v>36</v>
      </c>
      <c r="C37" s="119" t="s">
        <v>106</v>
      </c>
      <c r="D37" s="119" t="s">
        <v>107</v>
      </c>
      <c r="E37" s="129"/>
      <c r="F37" s="129"/>
      <c r="G37" s="129"/>
      <c r="H37" s="132"/>
      <c r="I37" s="129"/>
      <c r="J37" s="129"/>
      <c r="K37" s="129"/>
      <c r="L37" s="129"/>
      <c r="M37" s="129"/>
      <c r="N37" s="129"/>
      <c r="O37" s="129"/>
      <c r="P37" s="129"/>
      <c r="Q37" s="129"/>
    </row>
    <row r="38" spans="1:17" ht="20">
      <c r="A38" s="129">
        <v>39</v>
      </c>
      <c r="B38" s="119" t="s">
        <v>36</v>
      </c>
      <c r="C38" s="119" t="s">
        <v>108</v>
      </c>
      <c r="D38" s="119" t="s">
        <v>109</v>
      </c>
      <c r="E38" s="129"/>
      <c r="F38" s="129">
        <v>8</v>
      </c>
      <c r="G38" s="129"/>
      <c r="H38" s="132"/>
      <c r="I38" s="129"/>
      <c r="J38" s="129"/>
      <c r="K38" s="129"/>
      <c r="L38" s="129"/>
      <c r="M38" s="129">
        <v>10</v>
      </c>
      <c r="N38" s="129">
        <v>8</v>
      </c>
      <c r="O38" s="202">
        <v>8</v>
      </c>
      <c r="P38" s="129"/>
      <c r="Q38" s="129"/>
    </row>
    <row r="39" spans="1:17" ht="20">
      <c r="A39" s="129">
        <v>40</v>
      </c>
      <c r="B39" s="119" t="s">
        <v>36</v>
      </c>
      <c r="C39" s="119" t="s">
        <v>110</v>
      </c>
      <c r="D39" s="119" t="s">
        <v>111</v>
      </c>
      <c r="E39" s="129"/>
      <c r="F39" s="129"/>
      <c r="G39" s="129"/>
      <c r="H39" s="132"/>
      <c r="I39" s="129"/>
      <c r="J39" s="129"/>
      <c r="K39" s="129"/>
      <c r="L39" s="129"/>
      <c r="M39" s="129"/>
      <c r="N39" s="129"/>
      <c r="O39" s="129"/>
      <c r="P39" s="129"/>
      <c r="Q39" s="129"/>
    </row>
    <row r="40" spans="1:17" ht="20">
      <c r="A40" s="129">
        <v>41</v>
      </c>
      <c r="B40" s="119" t="s">
        <v>36</v>
      </c>
      <c r="C40" s="119" t="s">
        <v>113</v>
      </c>
      <c r="D40" s="119" t="s">
        <v>114</v>
      </c>
      <c r="E40" s="129"/>
      <c r="F40" s="129">
        <v>8</v>
      </c>
      <c r="G40" s="129"/>
      <c r="H40" s="132"/>
      <c r="I40" s="129"/>
      <c r="J40" s="129"/>
      <c r="K40" s="129"/>
      <c r="L40" s="129"/>
      <c r="M40" s="129"/>
      <c r="N40" s="129"/>
      <c r="O40" s="129"/>
      <c r="P40" s="129"/>
      <c r="Q40" s="129">
        <v>9</v>
      </c>
    </row>
    <row r="41" spans="1:17" ht="20">
      <c r="A41" s="129">
        <v>42</v>
      </c>
      <c r="B41" s="119" t="s">
        <v>36</v>
      </c>
      <c r="C41" s="119" t="s">
        <v>115</v>
      </c>
      <c r="D41" s="119" t="s">
        <v>116</v>
      </c>
      <c r="E41" s="129"/>
      <c r="F41" s="129">
        <v>9</v>
      </c>
      <c r="G41" s="129"/>
      <c r="H41" s="132"/>
      <c r="I41" s="129"/>
      <c r="J41" s="129">
        <v>6</v>
      </c>
      <c r="K41" s="129">
        <v>8</v>
      </c>
      <c r="L41" s="129">
        <v>9</v>
      </c>
      <c r="M41" s="129"/>
      <c r="N41" s="129"/>
      <c r="O41" s="129"/>
      <c r="P41" s="129"/>
      <c r="Q41" s="129"/>
    </row>
    <row r="42" spans="1:17" ht="20">
      <c r="A42" s="129">
        <v>43</v>
      </c>
      <c r="B42" s="119" t="s">
        <v>30</v>
      </c>
      <c r="C42" s="119" t="s">
        <v>117</v>
      </c>
      <c r="D42" s="119" t="s">
        <v>71</v>
      </c>
      <c r="E42" s="129"/>
      <c r="F42" s="129"/>
      <c r="G42" s="129">
        <v>5</v>
      </c>
      <c r="H42" s="129">
        <v>5</v>
      </c>
      <c r="I42" s="129">
        <v>6</v>
      </c>
      <c r="J42" s="129"/>
      <c r="K42" s="129"/>
      <c r="L42" s="129"/>
      <c r="M42" s="129"/>
      <c r="N42" s="129"/>
      <c r="O42" s="129"/>
      <c r="P42" s="129"/>
      <c r="Q42" s="129"/>
    </row>
    <row r="43" spans="1:17" ht="20">
      <c r="A43" s="129">
        <v>44</v>
      </c>
      <c r="B43" s="119" t="s">
        <v>36</v>
      </c>
      <c r="C43" s="119" t="s">
        <v>118</v>
      </c>
      <c r="D43" s="119" t="s">
        <v>119</v>
      </c>
      <c r="E43" s="129"/>
      <c r="F43" s="202">
        <v>9</v>
      </c>
      <c r="G43" s="129"/>
      <c r="H43" s="132"/>
      <c r="I43" s="129"/>
      <c r="J43" s="129">
        <v>7</v>
      </c>
      <c r="K43" s="129">
        <v>8</v>
      </c>
      <c r="L43" s="202">
        <v>10</v>
      </c>
      <c r="M43" s="129"/>
      <c r="N43" s="129"/>
      <c r="O43" s="129"/>
      <c r="P43" s="129"/>
      <c r="Q43" s="129"/>
    </row>
    <row r="44" spans="1:17" ht="20">
      <c r="A44" s="129">
        <v>45</v>
      </c>
      <c r="B44" s="119" t="s">
        <v>36</v>
      </c>
      <c r="C44" s="119" t="s">
        <v>120</v>
      </c>
      <c r="D44" s="119" t="s">
        <v>121</v>
      </c>
      <c r="E44" s="129"/>
      <c r="F44" s="202">
        <v>9</v>
      </c>
      <c r="G44" s="129"/>
      <c r="H44" s="132"/>
      <c r="I44" s="129"/>
      <c r="J44" s="129"/>
      <c r="K44" s="129"/>
      <c r="L44" s="129"/>
      <c r="M44" s="129">
        <v>9</v>
      </c>
      <c r="N44" s="129">
        <v>7</v>
      </c>
      <c r="O44" s="129">
        <v>7</v>
      </c>
      <c r="P44" s="129"/>
      <c r="Q44" s="129"/>
    </row>
    <row r="45" spans="1:17" ht="20">
      <c r="A45" s="129">
        <v>46</v>
      </c>
      <c r="B45" s="119" t="s">
        <v>36</v>
      </c>
      <c r="C45" s="119" t="s">
        <v>122</v>
      </c>
      <c r="D45" s="119" t="s">
        <v>123</v>
      </c>
      <c r="E45" s="129"/>
      <c r="F45" s="202">
        <v>9</v>
      </c>
      <c r="G45" s="129"/>
      <c r="H45" s="132"/>
      <c r="I45" s="129"/>
      <c r="J45" s="202">
        <v>7</v>
      </c>
      <c r="K45" s="129">
        <v>8</v>
      </c>
      <c r="L45" s="202">
        <v>9</v>
      </c>
      <c r="M45" s="129"/>
      <c r="N45" s="129"/>
      <c r="O45" s="129"/>
      <c r="P45" s="129"/>
      <c r="Q45" s="129"/>
    </row>
    <row r="46" spans="1:17" ht="20">
      <c r="A46" s="129">
        <v>47</v>
      </c>
      <c r="B46" s="119" t="s">
        <v>36</v>
      </c>
      <c r="C46" s="119" t="s">
        <v>124</v>
      </c>
      <c r="D46" s="119" t="s">
        <v>77</v>
      </c>
      <c r="E46" s="129"/>
      <c r="F46" s="129">
        <v>7</v>
      </c>
      <c r="G46" s="129"/>
      <c r="H46" s="132"/>
      <c r="I46" s="129"/>
      <c r="J46" s="202">
        <v>7</v>
      </c>
      <c r="K46" s="129">
        <v>8</v>
      </c>
      <c r="L46" s="202">
        <v>10</v>
      </c>
      <c r="M46" s="129"/>
      <c r="N46" s="129"/>
      <c r="O46" s="129"/>
      <c r="P46" s="129"/>
      <c r="Q46" s="129"/>
    </row>
    <row r="47" spans="1:17" ht="20">
      <c r="A47" s="129">
        <v>49</v>
      </c>
      <c r="B47" s="119" t="s">
        <v>36</v>
      </c>
      <c r="C47" s="119" t="s">
        <v>37</v>
      </c>
      <c r="D47" s="119" t="s">
        <v>55</v>
      </c>
      <c r="E47" s="129"/>
      <c r="F47" s="129"/>
      <c r="G47" s="129">
        <v>5</v>
      </c>
      <c r="H47" s="132" t="s">
        <v>252</v>
      </c>
      <c r="I47" s="129">
        <v>6</v>
      </c>
      <c r="J47" s="129"/>
      <c r="K47" s="129"/>
      <c r="L47" s="129"/>
      <c r="M47" s="129"/>
      <c r="N47" s="129"/>
      <c r="O47" s="129"/>
      <c r="P47" s="129"/>
      <c r="Q47" s="129"/>
    </row>
    <row r="48" spans="1:17" ht="20">
      <c r="A48" s="129">
        <v>50</v>
      </c>
      <c r="B48" s="119" t="s">
        <v>26</v>
      </c>
      <c r="C48" s="119" t="s">
        <v>127</v>
      </c>
      <c r="D48" s="119" t="s">
        <v>61</v>
      </c>
      <c r="E48" s="129"/>
      <c r="F48" s="129"/>
      <c r="G48" s="129">
        <v>8</v>
      </c>
      <c r="H48" s="132" t="s">
        <v>254</v>
      </c>
      <c r="I48" s="132" t="s">
        <v>254</v>
      </c>
      <c r="J48" s="129"/>
      <c r="K48" s="129"/>
      <c r="L48" s="129"/>
      <c r="M48" s="129"/>
      <c r="N48" s="129"/>
      <c r="O48" s="129"/>
      <c r="P48" s="129"/>
      <c r="Q48" s="129"/>
    </row>
    <row r="49" spans="1:17" ht="20">
      <c r="A49" s="129">
        <v>51</v>
      </c>
      <c r="B49" s="119" t="s">
        <v>30</v>
      </c>
      <c r="C49" s="119" t="s">
        <v>128</v>
      </c>
      <c r="D49" s="119" t="s">
        <v>64</v>
      </c>
      <c r="E49" s="129"/>
      <c r="F49" s="129"/>
      <c r="G49" s="129">
        <v>5</v>
      </c>
      <c r="H49" s="132" t="s">
        <v>252</v>
      </c>
      <c r="I49" s="132" t="s">
        <v>255</v>
      </c>
      <c r="J49" s="129"/>
      <c r="K49" s="129"/>
      <c r="L49" s="129"/>
      <c r="M49" s="129"/>
      <c r="N49" s="129"/>
      <c r="O49" s="129"/>
      <c r="P49" s="129"/>
      <c r="Q49" s="129"/>
    </row>
    <row r="50" spans="1:17" ht="20">
      <c r="A50" s="129">
        <v>52</v>
      </c>
      <c r="B50" s="119" t="s">
        <v>26</v>
      </c>
      <c r="C50" s="119" t="s">
        <v>129</v>
      </c>
      <c r="D50" s="119" t="s">
        <v>71</v>
      </c>
      <c r="E50" s="129"/>
      <c r="F50" s="129"/>
      <c r="G50" s="129">
        <v>6</v>
      </c>
      <c r="H50" s="132" t="s">
        <v>253</v>
      </c>
      <c r="I50" s="132" t="s">
        <v>253</v>
      </c>
      <c r="J50" s="129"/>
      <c r="K50" s="129"/>
      <c r="L50" s="129"/>
      <c r="M50" s="129"/>
      <c r="N50" s="129"/>
      <c r="O50" s="129"/>
      <c r="P50" s="129"/>
      <c r="Q50" s="129"/>
    </row>
    <row r="51" spans="1:17" ht="20">
      <c r="A51" s="129">
        <v>53</v>
      </c>
      <c r="B51" s="119" t="s">
        <v>26</v>
      </c>
      <c r="C51" s="119" t="s">
        <v>130</v>
      </c>
      <c r="D51" s="119" t="s">
        <v>61</v>
      </c>
      <c r="E51" s="129"/>
      <c r="F51" s="129"/>
      <c r="G51" s="129">
        <v>6</v>
      </c>
      <c r="H51" s="132" t="s">
        <v>253</v>
      </c>
      <c r="I51" s="132" t="s">
        <v>255</v>
      </c>
      <c r="J51" s="129"/>
      <c r="K51" s="129"/>
      <c r="L51" s="129"/>
      <c r="M51" s="129"/>
      <c r="N51" s="129"/>
      <c r="O51" s="129"/>
      <c r="P51" s="129"/>
      <c r="Q51" s="129"/>
    </row>
    <row r="52" spans="1:17" ht="20">
      <c r="A52" s="129">
        <v>54</v>
      </c>
      <c r="B52" s="119" t="s">
        <v>26</v>
      </c>
      <c r="C52" s="119" t="s">
        <v>131</v>
      </c>
      <c r="D52" s="119" t="s">
        <v>132</v>
      </c>
      <c r="E52" s="129"/>
      <c r="F52" s="129"/>
      <c r="G52" s="129">
        <v>6</v>
      </c>
      <c r="H52" s="132" t="s">
        <v>252</v>
      </c>
      <c r="I52" s="132" t="s">
        <v>255</v>
      </c>
      <c r="J52" s="129"/>
      <c r="K52" s="129"/>
      <c r="L52" s="129"/>
      <c r="M52" s="129"/>
      <c r="N52" s="129"/>
      <c r="O52" s="129"/>
      <c r="P52" s="129"/>
      <c r="Q52" s="129"/>
    </row>
    <row r="53" spans="1:17" ht="20">
      <c r="A53" s="129">
        <v>56</v>
      </c>
      <c r="B53" s="119" t="s">
        <v>30</v>
      </c>
      <c r="C53" s="119" t="s">
        <v>133</v>
      </c>
      <c r="D53" s="119" t="s">
        <v>134</v>
      </c>
      <c r="E53" s="129"/>
      <c r="F53" s="129"/>
      <c r="G53" s="129">
        <v>5</v>
      </c>
      <c r="H53" s="132" t="s">
        <v>255</v>
      </c>
      <c r="I53" s="132" t="s">
        <v>255</v>
      </c>
      <c r="J53" s="129"/>
      <c r="K53" s="129"/>
      <c r="L53" s="129"/>
      <c r="M53" s="129"/>
      <c r="N53" s="129"/>
      <c r="O53" s="129"/>
      <c r="P53" s="129"/>
      <c r="Q53" s="129"/>
    </row>
    <row r="54" spans="1:17" ht="20">
      <c r="A54" s="129">
        <v>57</v>
      </c>
      <c r="B54" s="119" t="s">
        <v>30</v>
      </c>
      <c r="C54" s="119" t="s">
        <v>183</v>
      </c>
      <c r="D54" s="119" t="s">
        <v>184</v>
      </c>
      <c r="E54" s="129"/>
      <c r="F54" s="129"/>
      <c r="G54" s="129">
        <v>7</v>
      </c>
      <c r="H54" s="132" t="s">
        <v>255</v>
      </c>
      <c r="I54" s="129">
        <v>5</v>
      </c>
      <c r="J54" s="129"/>
      <c r="K54" s="129"/>
      <c r="L54" s="129"/>
      <c r="M54" s="129"/>
      <c r="N54" s="129"/>
      <c r="O54" s="129"/>
      <c r="P54" s="129"/>
      <c r="Q54" s="129"/>
    </row>
    <row r="55" spans="1:17" ht="20">
      <c r="A55" s="129">
        <v>58</v>
      </c>
      <c r="B55" s="119" t="s">
        <v>26</v>
      </c>
      <c r="C55" s="119" t="s">
        <v>135</v>
      </c>
      <c r="D55" s="119" t="s">
        <v>136</v>
      </c>
      <c r="E55" s="129"/>
      <c r="F55" s="129"/>
      <c r="G55" s="129">
        <v>6</v>
      </c>
      <c r="H55" s="132" t="s">
        <v>254</v>
      </c>
      <c r="I55" s="132" t="s">
        <v>254</v>
      </c>
      <c r="J55" s="129"/>
      <c r="K55" s="129"/>
      <c r="L55" s="129"/>
      <c r="M55" s="129"/>
      <c r="N55" s="129"/>
      <c r="O55" s="129"/>
      <c r="P55" s="129"/>
      <c r="Q55" s="129"/>
    </row>
    <row r="56" spans="1:17" ht="20">
      <c r="A56" s="129">
        <v>59</v>
      </c>
      <c r="B56" s="119" t="s">
        <v>26</v>
      </c>
      <c r="C56" s="119" t="s">
        <v>137</v>
      </c>
      <c r="D56" s="119" t="s">
        <v>123</v>
      </c>
      <c r="E56" s="129"/>
      <c r="F56" s="129"/>
      <c r="G56" s="129">
        <v>4</v>
      </c>
      <c r="H56" s="132" t="s">
        <v>252</v>
      </c>
      <c r="I56" s="132" t="s">
        <v>255</v>
      </c>
      <c r="J56" s="129"/>
      <c r="K56" s="129"/>
      <c r="L56" s="129"/>
      <c r="M56" s="129"/>
      <c r="N56" s="129"/>
      <c r="O56" s="129"/>
      <c r="P56" s="129"/>
      <c r="Q56" s="129"/>
    </row>
    <row r="57" spans="1:17" ht="20">
      <c r="A57" s="129">
        <v>60</v>
      </c>
      <c r="B57" s="119" t="s">
        <v>36</v>
      </c>
      <c r="C57" s="119" t="s">
        <v>138</v>
      </c>
      <c r="D57" s="119" t="s">
        <v>139</v>
      </c>
      <c r="E57" s="129"/>
      <c r="F57" s="129"/>
      <c r="G57" s="129">
        <v>9</v>
      </c>
      <c r="H57" s="132" t="s">
        <v>256</v>
      </c>
      <c r="I57" s="132"/>
      <c r="J57" s="129"/>
      <c r="K57" s="129"/>
      <c r="L57" s="129"/>
      <c r="M57" s="129"/>
      <c r="N57" s="129"/>
      <c r="O57" s="129"/>
      <c r="P57" s="129"/>
      <c r="Q57" s="129"/>
    </row>
    <row r="58" spans="1:17" ht="20">
      <c r="A58" s="129">
        <v>61</v>
      </c>
      <c r="B58" s="119" t="s">
        <v>30</v>
      </c>
      <c r="C58" s="119" t="s">
        <v>185</v>
      </c>
      <c r="D58" s="119" t="s">
        <v>186</v>
      </c>
      <c r="E58" s="129"/>
      <c r="F58" s="129"/>
      <c r="G58" s="129">
        <v>5</v>
      </c>
      <c r="H58" s="132" t="s">
        <v>252</v>
      </c>
      <c r="I58" s="132" t="s">
        <v>252</v>
      </c>
      <c r="J58" s="129"/>
      <c r="K58" s="129"/>
      <c r="L58" s="129"/>
      <c r="M58" s="129"/>
      <c r="N58" s="129"/>
      <c r="O58" s="129"/>
      <c r="P58" s="129"/>
      <c r="Q58" s="129"/>
    </row>
    <row r="59" spans="1:17" ht="20">
      <c r="A59" s="129">
        <v>62</v>
      </c>
      <c r="B59" s="119" t="s">
        <v>26</v>
      </c>
      <c r="C59" s="119" t="s">
        <v>141</v>
      </c>
      <c r="D59" s="119" t="s">
        <v>142</v>
      </c>
      <c r="E59" s="129"/>
      <c r="F59" s="129"/>
      <c r="G59" s="129">
        <v>5</v>
      </c>
      <c r="H59" s="132" t="s">
        <v>252</v>
      </c>
      <c r="I59" s="132" t="s">
        <v>255</v>
      </c>
      <c r="J59" s="129"/>
      <c r="K59" s="129"/>
      <c r="L59" s="129"/>
      <c r="M59" s="129"/>
      <c r="N59" s="129"/>
      <c r="O59" s="129"/>
      <c r="P59" s="129"/>
      <c r="Q59" s="129"/>
    </row>
    <row r="60" spans="1:17" ht="20">
      <c r="A60" s="129">
        <v>63</v>
      </c>
      <c r="B60" s="119" t="s">
        <v>30</v>
      </c>
      <c r="C60" s="119" t="s">
        <v>143</v>
      </c>
      <c r="D60" s="119" t="s">
        <v>144</v>
      </c>
      <c r="E60" s="129"/>
      <c r="F60" s="129"/>
      <c r="G60" s="129">
        <v>5</v>
      </c>
      <c r="H60" s="132" t="s">
        <v>257</v>
      </c>
      <c r="I60" s="132" t="s">
        <v>255</v>
      </c>
      <c r="J60" s="129"/>
      <c r="K60" s="129"/>
      <c r="L60" s="129"/>
      <c r="M60" s="129"/>
      <c r="N60" s="129"/>
      <c r="O60" s="129"/>
      <c r="P60" s="129"/>
      <c r="Q60" s="129"/>
    </row>
    <row r="61" spans="1:17" ht="20">
      <c r="A61" s="129">
        <v>64</v>
      </c>
      <c r="B61" s="119" t="s">
        <v>36</v>
      </c>
      <c r="C61" s="119" t="s">
        <v>146</v>
      </c>
      <c r="D61" s="119" t="s">
        <v>125</v>
      </c>
      <c r="E61" s="129"/>
      <c r="F61" s="129"/>
      <c r="G61" s="129">
        <v>6</v>
      </c>
      <c r="H61" s="132" t="s">
        <v>253</v>
      </c>
      <c r="I61" s="132" t="s">
        <v>253</v>
      </c>
      <c r="J61" s="129"/>
      <c r="K61" s="129"/>
      <c r="L61" s="129"/>
      <c r="M61" s="129"/>
      <c r="N61" s="129"/>
      <c r="O61" s="129"/>
      <c r="P61" s="129"/>
      <c r="Q61" s="129"/>
    </row>
    <row r="62" spans="1:17" ht="20">
      <c r="A62" s="129">
        <v>65</v>
      </c>
      <c r="B62" s="119" t="s">
        <v>26</v>
      </c>
      <c r="C62" s="119" t="s">
        <v>147</v>
      </c>
      <c r="D62" s="119" t="s">
        <v>111</v>
      </c>
      <c r="E62" s="129"/>
      <c r="F62" s="129"/>
      <c r="G62" s="129">
        <v>8</v>
      </c>
      <c r="H62" s="132" t="s">
        <v>254</v>
      </c>
      <c r="I62" s="132" t="s">
        <v>254</v>
      </c>
      <c r="J62" s="120"/>
      <c r="K62" s="120"/>
      <c r="L62" s="120"/>
      <c r="M62" s="120"/>
      <c r="N62" s="120"/>
      <c r="O62" s="120"/>
      <c r="P62" s="120"/>
      <c r="Q62" s="120"/>
    </row>
    <row r="63" spans="1:17" ht="20">
      <c r="A63" s="129">
        <v>66</v>
      </c>
      <c r="B63" s="119" t="s">
        <v>30</v>
      </c>
      <c r="C63" s="119" t="s">
        <v>148</v>
      </c>
      <c r="D63" s="119" t="s">
        <v>96</v>
      </c>
      <c r="E63" s="129"/>
      <c r="F63" s="129"/>
      <c r="G63" s="129">
        <v>5</v>
      </c>
      <c r="H63" s="132" t="s">
        <v>255</v>
      </c>
      <c r="I63" s="132" t="s">
        <v>255</v>
      </c>
      <c r="J63" s="120"/>
      <c r="K63" s="120"/>
      <c r="L63" s="120"/>
      <c r="M63" s="120"/>
      <c r="N63" s="120"/>
      <c r="O63" s="120"/>
      <c r="P63" s="120"/>
      <c r="Q63" s="120"/>
    </row>
    <row r="64" spans="1:17" ht="20">
      <c r="A64" s="129">
        <v>68</v>
      </c>
      <c r="B64" s="119" t="s">
        <v>30</v>
      </c>
      <c r="C64" s="119" t="s">
        <v>149</v>
      </c>
      <c r="D64" s="119" t="s">
        <v>71</v>
      </c>
      <c r="E64" s="129"/>
      <c r="F64" s="129"/>
      <c r="G64" s="129">
        <v>6</v>
      </c>
      <c r="H64" s="132" t="s">
        <v>254</v>
      </c>
      <c r="I64" s="132" t="s">
        <v>254</v>
      </c>
      <c r="J64" s="120"/>
      <c r="K64" s="120"/>
      <c r="L64" s="120"/>
      <c r="M64" s="120"/>
      <c r="N64" s="120"/>
      <c r="O64" s="120"/>
      <c r="P64" s="120"/>
      <c r="Q64" s="120"/>
    </row>
    <row r="65" spans="1:17" ht="20">
      <c r="A65" s="129">
        <v>70</v>
      </c>
      <c r="B65" s="119" t="s">
        <v>30</v>
      </c>
      <c r="C65" s="119" t="s">
        <v>150</v>
      </c>
      <c r="D65" s="119" t="s">
        <v>142</v>
      </c>
      <c r="E65" s="129"/>
      <c r="F65" s="129"/>
      <c r="G65" s="129"/>
      <c r="H65" s="132" t="s">
        <v>258</v>
      </c>
      <c r="I65" s="132"/>
      <c r="J65" s="120"/>
      <c r="K65" s="120"/>
      <c r="L65" s="120"/>
      <c r="M65" s="120"/>
      <c r="N65" s="120"/>
      <c r="O65" s="120"/>
      <c r="P65" s="120"/>
      <c r="Q65" s="120"/>
    </row>
    <row r="66" spans="1:17" ht="20">
      <c r="A66" s="129">
        <v>71</v>
      </c>
      <c r="B66" s="119" t="s">
        <v>36</v>
      </c>
      <c r="C66" s="119" t="s">
        <v>151</v>
      </c>
      <c r="D66" s="119" t="s">
        <v>142</v>
      </c>
      <c r="E66" s="129"/>
      <c r="F66" s="129"/>
      <c r="G66" s="129">
        <v>9</v>
      </c>
      <c r="H66" s="132"/>
      <c r="I66" s="132"/>
      <c r="J66" s="120"/>
      <c r="K66" s="120"/>
      <c r="L66" s="120"/>
      <c r="M66" s="120"/>
      <c r="N66" s="120"/>
      <c r="O66" s="120"/>
      <c r="P66" s="120"/>
      <c r="Q66" s="120"/>
    </row>
    <row r="67" spans="1:17" ht="20">
      <c r="A67" s="129">
        <v>72</v>
      </c>
      <c r="B67" s="119" t="s">
        <v>30</v>
      </c>
      <c r="C67" s="119" t="s">
        <v>153</v>
      </c>
      <c r="D67" s="119" t="s">
        <v>154</v>
      </c>
      <c r="E67" s="129"/>
      <c r="F67" s="129"/>
      <c r="G67" s="129">
        <v>6</v>
      </c>
      <c r="H67" s="132" t="s">
        <v>253</v>
      </c>
      <c r="I67" s="132" t="s">
        <v>253</v>
      </c>
      <c r="J67" s="120"/>
      <c r="K67" s="120"/>
      <c r="L67" s="120"/>
      <c r="M67" s="120"/>
      <c r="N67" s="120"/>
      <c r="O67" s="120"/>
      <c r="P67" s="120"/>
      <c r="Q67" s="120"/>
    </row>
    <row r="68" spans="1:17" ht="20">
      <c r="A68" s="129">
        <v>73</v>
      </c>
      <c r="B68" s="119" t="s">
        <v>36</v>
      </c>
      <c r="C68" s="119" t="s">
        <v>155</v>
      </c>
      <c r="D68" s="119" t="s">
        <v>71</v>
      </c>
      <c r="E68" s="129"/>
      <c r="F68" s="129"/>
      <c r="G68" s="129">
        <v>7</v>
      </c>
      <c r="H68" s="132" t="s">
        <v>254</v>
      </c>
      <c r="I68" s="132" t="s">
        <v>254</v>
      </c>
      <c r="J68" s="120"/>
      <c r="K68" s="120"/>
      <c r="L68" s="120"/>
      <c r="M68" s="120"/>
      <c r="N68" s="120"/>
      <c r="O68" s="120"/>
      <c r="P68" s="120"/>
      <c r="Q68" s="120"/>
    </row>
    <row r="69" spans="1:17" ht="20">
      <c r="A69" s="129">
        <v>74</v>
      </c>
      <c r="B69" s="119" t="s">
        <v>30</v>
      </c>
      <c r="C69" s="119" t="s">
        <v>156</v>
      </c>
      <c r="D69" s="119" t="s">
        <v>157</v>
      </c>
      <c r="E69" s="129"/>
      <c r="F69" s="129"/>
      <c r="G69" s="129">
        <v>7</v>
      </c>
      <c r="H69" s="132" t="s">
        <v>253</v>
      </c>
      <c r="I69" s="132" t="s">
        <v>253</v>
      </c>
      <c r="J69" s="120"/>
      <c r="K69" s="120"/>
      <c r="L69" s="120"/>
      <c r="M69" s="120"/>
      <c r="N69" s="120"/>
      <c r="O69" s="120"/>
      <c r="P69" s="120"/>
      <c r="Q69" s="120"/>
    </row>
    <row r="70" spans="1:17" ht="20">
      <c r="A70" s="129">
        <v>75</v>
      </c>
      <c r="B70" s="119" t="s">
        <v>30</v>
      </c>
      <c r="C70" s="119" t="s">
        <v>158</v>
      </c>
      <c r="D70" s="119" t="s">
        <v>159</v>
      </c>
      <c r="E70" s="129"/>
      <c r="F70" s="129"/>
      <c r="G70" s="129">
        <v>5</v>
      </c>
      <c r="H70" s="132" t="s">
        <v>255</v>
      </c>
      <c r="I70" s="132" t="s">
        <v>255</v>
      </c>
      <c r="J70" s="120"/>
      <c r="K70" s="120"/>
      <c r="L70" s="120"/>
      <c r="M70" s="120"/>
      <c r="N70" s="120"/>
      <c r="O70" s="120"/>
      <c r="P70" s="120"/>
      <c r="Q70" s="120"/>
    </row>
    <row r="71" spans="1:17" ht="20">
      <c r="A71" s="129">
        <v>76</v>
      </c>
      <c r="B71" s="119" t="s">
        <v>30</v>
      </c>
      <c r="C71" s="119" t="s">
        <v>158</v>
      </c>
      <c r="D71" s="119" t="s">
        <v>69</v>
      </c>
      <c r="E71" s="129"/>
      <c r="F71" s="129"/>
      <c r="G71" s="129">
        <v>7</v>
      </c>
      <c r="H71" s="132" t="s">
        <v>253</v>
      </c>
      <c r="I71" s="132" t="s">
        <v>253</v>
      </c>
      <c r="J71" s="120"/>
      <c r="K71" s="120"/>
      <c r="L71" s="120"/>
      <c r="M71" s="120"/>
      <c r="N71" s="120"/>
      <c r="O71" s="120"/>
      <c r="P71" s="120"/>
      <c r="Q71" s="120"/>
    </row>
    <row r="72" spans="1:17" ht="20">
      <c r="A72" s="129">
        <v>77</v>
      </c>
      <c r="B72" s="119" t="s">
        <v>30</v>
      </c>
      <c r="C72" s="119" t="s">
        <v>158</v>
      </c>
      <c r="D72" s="119" t="s">
        <v>187</v>
      </c>
      <c r="E72" s="129"/>
      <c r="F72" s="129"/>
      <c r="G72" s="129">
        <v>5</v>
      </c>
      <c r="H72" s="132" t="s">
        <v>252</v>
      </c>
      <c r="I72" s="132" t="s">
        <v>252</v>
      </c>
      <c r="J72" s="120"/>
      <c r="K72" s="120"/>
      <c r="L72" s="120"/>
      <c r="M72" s="120"/>
      <c r="N72" s="120"/>
      <c r="O72" s="120"/>
      <c r="P72" s="120"/>
      <c r="Q72" s="120"/>
    </row>
    <row r="73" spans="1:17" ht="20">
      <c r="A73" s="129">
        <v>78</v>
      </c>
      <c r="B73" s="119" t="s">
        <v>30</v>
      </c>
      <c r="C73" s="119" t="s">
        <v>160</v>
      </c>
      <c r="D73" s="119" t="s">
        <v>107</v>
      </c>
      <c r="E73" s="129"/>
      <c r="F73" s="129"/>
      <c r="G73" s="129">
        <v>8</v>
      </c>
      <c r="H73" s="132" t="s">
        <v>254</v>
      </c>
      <c r="I73" s="132" t="s">
        <v>254</v>
      </c>
      <c r="J73" s="120"/>
      <c r="K73" s="120"/>
      <c r="L73" s="120"/>
      <c r="M73" s="120"/>
      <c r="N73" s="120"/>
      <c r="O73" s="120"/>
      <c r="P73" s="120"/>
      <c r="Q73" s="120"/>
    </row>
    <row r="74" spans="1:17" ht="20">
      <c r="A74" s="129">
        <v>79</v>
      </c>
      <c r="B74" s="119" t="s">
        <v>26</v>
      </c>
      <c r="C74" s="119" t="s">
        <v>161</v>
      </c>
      <c r="D74" s="119" t="s">
        <v>162</v>
      </c>
      <c r="E74" s="129"/>
      <c r="F74" s="129"/>
      <c r="G74" s="129">
        <v>5</v>
      </c>
      <c r="H74" s="132" t="s">
        <v>255</v>
      </c>
      <c r="I74" s="132" t="s">
        <v>255</v>
      </c>
      <c r="J74" s="120"/>
      <c r="K74" s="120"/>
      <c r="L74" s="120"/>
      <c r="M74" s="120"/>
      <c r="N74" s="120"/>
      <c r="O74" s="120"/>
      <c r="P74" s="120"/>
      <c r="Q74" s="120"/>
    </row>
    <row r="75" spans="1:17" ht="20">
      <c r="A75" s="129">
        <v>80</v>
      </c>
      <c r="B75" s="119" t="s">
        <v>30</v>
      </c>
      <c r="C75" s="119" t="s">
        <v>163</v>
      </c>
      <c r="D75" s="119" t="s">
        <v>164</v>
      </c>
      <c r="E75" s="129"/>
      <c r="F75" s="129"/>
      <c r="G75" s="129">
        <v>6</v>
      </c>
      <c r="H75" s="132" t="s">
        <v>254</v>
      </c>
      <c r="I75" s="132" t="s">
        <v>253</v>
      </c>
      <c r="J75" s="120"/>
      <c r="K75" s="120"/>
      <c r="L75" s="120"/>
      <c r="M75" s="120"/>
      <c r="N75" s="120"/>
      <c r="O75" s="120"/>
      <c r="P75" s="120"/>
      <c r="Q75" s="120"/>
    </row>
    <row r="76" spans="1:17" ht="20">
      <c r="A76" s="129">
        <v>81</v>
      </c>
      <c r="B76" s="119" t="s">
        <v>36</v>
      </c>
      <c r="C76" s="119" t="s">
        <v>165</v>
      </c>
      <c r="D76" s="119" t="s">
        <v>162</v>
      </c>
      <c r="E76" s="129"/>
      <c r="F76" s="129"/>
      <c r="G76" s="129">
        <v>8</v>
      </c>
      <c r="H76" s="132" t="s">
        <v>254</v>
      </c>
      <c r="I76" s="132" t="s">
        <v>254</v>
      </c>
      <c r="J76" s="120"/>
      <c r="K76" s="120"/>
      <c r="L76" s="120"/>
      <c r="M76" s="120"/>
      <c r="N76" s="120"/>
      <c r="O76" s="120"/>
      <c r="P76" s="120"/>
      <c r="Q76" s="120"/>
    </row>
    <row r="77" spans="1:17" ht="20">
      <c r="A77" s="129">
        <v>82</v>
      </c>
      <c r="B77" s="119" t="s">
        <v>30</v>
      </c>
      <c r="C77" s="119" t="s">
        <v>166</v>
      </c>
      <c r="D77" s="119" t="s">
        <v>167</v>
      </c>
      <c r="E77" s="129"/>
      <c r="F77" s="129"/>
      <c r="G77" s="129">
        <v>7</v>
      </c>
      <c r="H77" s="132" t="s">
        <v>253</v>
      </c>
      <c r="I77" s="132" t="s">
        <v>254</v>
      </c>
      <c r="J77" s="120"/>
      <c r="K77" s="120"/>
      <c r="L77" s="120"/>
      <c r="M77" s="120"/>
      <c r="N77" s="120"/>
      <c r="O77" s="120"/>
      <c r="P77" s="120"/>
      <c r="Q77" s="120"/>
    </row>
    <row r="78" spans="1:17" ht="20">
      <c r="A78" s="129">
        <v>83</v>
      </c>
      <c r="B78" s="119" t="s">
        <v>36</v>
      </c>
      <c r="C78" s="119" t="s">
        <v>168</v>
      </c>
      <c r="D78" s="119" t="s">
        <v>169</v>
      </c>
      <c r="E78" s="129"/>
      <c r="F78" s="129"/>
      <c r="G78" s="129">
        <v>8</v>
      </c>
      <c r="H78" s="132" t="s">
        <v>254</v>
      </c>
      <c r="I78" s="132" t="s">
        <v>254</v>
      </c>
      <c r="J78" s="120"/>
      <c r="K78" s="120"/>
      <c r="L78" s="120"/>
      <c r="M78" s="120"/>
      <c r="N78" s="120"/>
      <c r="O78" s="120"/>
      <c r="P78" s="120"/>
      <c r="Q78" s="120"/>
    </row>
    <row r="79" spans="1:17" ht="20">
      <c r="A79" s="129">
        <v>84</v>
      </c>
      <c r="B79" s="119" t="s">
        <v>26</v>
      </c>
      <c r="C79" s="119" t="s">
        <v>182</v>
      </c>
      <c r="D79" s="119" t="s">
        <v>77</v>
      </c>
      <c r="E79" s="129"/>
      <c r="F79" s="129"/>
      <c r="G79" s="129">
        <v>7</v>
      </c>
      <c r="H79" s="132" t="s">
        <v>255</v>
      </c>
      <c r="I79" s="132" t="s">
        <v>252</v>
      </c>
      <c r="J79" s="120"/>
      <c r="K79" s="120"/>
      <c r="L79" s="120"/>
      <c r="M79" s="120"/>
      <c r="N79" s="120"/>
      <c r="O79" s="120"/>
      <c r="P79" s="120"/>
      <c r="Q79" s="120"/>
    </row>
    <row r="80" spans="1:17" ht="20">
      <c r="A80" s="129">
        <v>85</v>
      </c>
      <c r="B80" s="119" t="s">
        <v>26</v>
      </c>
      <c r="C80" s="119" t="s">
        <v>170</v>
      </c>
      <c r="D80" s="239" t="s">
        <v>171</v>
      </c>
      <c r="E80" s="129"/>
      <c r="F80" s="129"/>
      <c r="G80" s="129">
        <v>9</v>
      </c>
      <c r="H80" s="132" t="s">
        <v>255</v>
      </c>
      <c r="I80" s="132" t="s">
        <v>255</v>
      </c>
      <c r="J80" s="120"/>
      <c r="K80" s="120"/>
      <c r="L80" s="120"/>
      <c r="M80" s="120"/>
      <c r="N80" s="120"/>
      <c r="O80" s="120"/>
      <c r="P80" s="120"/>
      <c r="Q80" s="120"/>
    </row>
    <row r="81" spans="1:18" ht="20">
      <c r="A81" s="129">
        <v>86</v>
      </c>
      <c r="B81" s="119" t="s">
        <v>26</v>
      </c>
      <c r="C81" s="119" t="s">
        <v>172</v>
      </c>
      <c r="D81" s="119" t="s">
        <v>173</v>
      </c>
      <c r="E81" s="129"/>
      <c r="F81" s="129"/>
      <c r="G81" s="129">
        <v>7</v>
      </c>
      <c r="H81" s="132" t="s">
        <v>255</v>
      </c>
      <c r="I81" s="132" t="s">
        <v>253</v>
      </c>
      <c r="J81" s="120"/>
      <c r="K81" s="120"/>
      <c r="L81" s="120"/>
      <c r="M81" s="120"/>
      <c r="N81" s="120"/>
      <c r="O81" s="120"/>
      <c r="P81" s="120"/>
      <c r="Q81" s="120"/>
    </row>
    <row r="82" spans="1:18" ht="20">
      <c r="A82" s="129">
        <v>87</v>
      </c>
      <c r="B82" s="119" t="s">
        <v>30</v>
      </c>
      <c r="C82" s="119" t="s">
        <v>175</v>
      </c>
      <c r="D82" s="119" t="s">
        <v>123</v>
      </c>
      <c r="E82" s="129"/>
      <c r="F82" s="129"/>
      <c r="G82" s="129">
        <v>7</v>
      </c>
      <c r="H82" s="132" t="s">
        <v>252</v>
      </c>
      <c r="I82" s="132" t="s">
        <v>253</v>
      </c>
      <c r="J82" s="120"/>
      <c r="K82" s="120"/>
      <c r="L82" s="120"/>
      <c r="M82" s="120"/>
      <c r="N82" s="120"/>
      <c r="O82" s="120"/>
      <c r="P82" s="120"/>
      <c r="Q82" s="120"/>
    </row>
    <row r="83" spans="1:18" ht="20">
      <c r="A83" s="129">
        <v>88</v>
      </c>
      <c r="B83" s="119" t="s">
        <v>36</v>
      </c>
      <c r="C83" s="119" t="s">
        <v>177</v>
      </c>
      <c r="D83" s="119" t="s">
        <v>178</v>
      </c>
      <c r="E83" s="129"/>
      <c r="F83" s="129"/>
      <c r="G83" s="129">
        <v>7</v>
      </c>
      <c r="H83" s="132" t="s">
        <v>253</v>
      </c>
      <c r="I83" s="132" t="s">
        <v>254</v>
      </c>
      <c r="J83" s="120"/>
      <c r="K83" s="120"/>
      <c r="L83" s="120"/>
      <c r="M83" s="120"/>
      <c r="N83" s="120"/>
      <c r="O83" s="120"/>
      <c r="P83" s="120"/>
      <c r="Q83" s="120"/>
    </row>
    <row r="84" spans="1:18" ht="20">
      <c r="A84" s="129">
        <v>89</v>
      </c>
      <c r="B84" s="119" t="s">
        <v>36</v>
      </c>
      <c r="C84" s="119" t="s">
        <v>179</v>
      </c>
      <c r="D84" s="119" t="s">
        <v>111</v>
      </c>
      <c r="E84" s="129"/>
      <c r="F84" s="129"/>
      <c r="G84" s="129">
        <v>7</v>
      </c>
      <c r="H84" s="132" t="s">
        <v>253</v>
      </c>
      <c r="I84" s="132" t="s">
        <v>253</v>
      </c>
      <c r="J84" s="120"/>
      <c r="K84" s="120"/>
      <c r="L84" s="120"/>
      <c r="M84" s="120"/>
      <c r="N84" s="120"/>
      <c r="O84" s="120"/>
      <c r="P84" s="120"/>
      <c r="Q84" s="120"/>
    </row>
    <row r="85" spans="1:18" ht="20">
      <c r="A85" s="129">
        <v>90</v>
      </c>
      <c r="B85" s="119" t="s">
        <v>26</v>
      </c>
      <c r="C85" s="119" t="s">
        <v>180</v>
      </c>
      <c r="D85" s="119" t="s">
        <v>136</v>
      </c>
      <c r="E85" s="129"/>
      <c r="F85" s="129"/>
      <c r="G85" s="129">
        <v>5</v>
      </c>
      <c r="H85" s="132" t="s">
        <v>252</v>
      </c>
      <c r="I85" s="132" t="s">
        <v>255</v>
      </c>
      <c r="J85" s="120"/>
      <c r="K85" s="120"/>
      <c r="L85" s="120"/>
      <c r="M85" s="120"/>
      <c r="N85" s="120"/>
      <c r="O85" s="120"/>
      <c r="P85" s="120"/>
      <c r="Q85" s="120"/>
    </row>
    <row r="86" spans="1:18" ht="20">
      <c r="A86" s="129">
        <v>91</v>
      </c>
      <c r="B86" s="119" t="s">
        <v>26</v>
      </c>
      <c r="C86" s="119" t="s">
        <v>181</v>
      </c>
      <c r="D86" s="119" t="s">
        <v>123</v>
      </c>
      <c r="E86" s="129"/>
      <c r="F86" s="129"/>
      <c r="G86" s="129">
        <v>8</v>
      </c>
      <c r="H86" s="132" t="s">
        <v>254</v>
      </c>
      <c r="I86" s="132" t="s">
        <v>254</v>
      </c>
      <c r="J86" s="120"/>
      <c r="K86" s="120"/>
      <c r="L86" s="120"/>
      <c r="M86" s="120"/>
      <c r="N86" s="120"/>
      <c r="O86" s="120"/>
      <c r="P86" s="120"/>
      <c r="Q86" s="120"/>
    </row>
    <row r="87" spans="1:18" ht="20">
      <c r="A87" s="129">
        <v>92</v>
      </c>
      <c r="B87" s="119" t="s">
        <v>26</v>
      </c>
      <c r="C87" s="119" t="s">
        <v>208</v>
      </c>
      <c r="D87" s="119" t="s">
        <v>246</v>
      </c>
      <c r="E87" s="129"/>
      <c r="F87" s="129"/>
      <c r="G87" s="129">
        <v>5</v>
      </c>
      <c r="H87" s="129">
        <v>5</v>
      </c>
      <c r="I87" s="129">
        <v>5</v>
      </c>
      <c r="J87" s="129"/>
      <c r="K87" s="129"/>
      <c r="L87" s="129"/>
      <c r="M87" s="129"/>
      <c r="N87" s="129"/>
      <c r="O87" s="129"/>
      <c r="P87" s="129"/>
      <c r="Q87" s="129"/>
      <c r="R87" t="s">
        <v>247</v>
      </c>
    </row>
    <row r="88" spans="1:18" ht="20">
      <c r="A88" s="129">
        <v>93</v>
      </c>
      <c r="B88" s="119" t="s">
        <v>26</v>
      </c>
      <c r="C88" s="119" t="s">
        <v>237</v>
      </c>
      <c r="D88" s="119" t="s">
        <v>232</v>
      </c>
      <c r="E88" s="129"/>
      <c r="F88" s="129"/>
      <c r="G88" s="129">
        <v>5</v>
      </c>
      <c r="H88" s="129">
        <v>5</v>
      </c>
      <c r="I88" s="129">
        <v>4</v>
      </c>
      <c r="J88" s="129"/>
      <c r="K88" s="129"/>
      <c r="L88" s="129"/>
      <c r="M88" s="129"/>
      <c r="N88" s="129"/>
      <c r="O88" s="129"/>
      <c r="P88" s="129"/>
      <c r="Q88" s="129"/>
      <c r="R88" t="s">
        <v>247</v>
      </c>
    </row>
    <row r="89" spans="1:18" ht="20">
      <c r="A89" s="129">
        <v>94</v>
      </c>
      <c r="B89" s="119" t="s">
        <v>30</v>
      </c>
      <c r="C89" s="119" t="s">
        <v>238</v>
      </c>
      <c r="D89" s="119" t="s">
        <v>233</v>
      </c>
      <c r="E89" s="129"/>
      <c r="F89" s="129"/>
      <c r="G89" s="129">
        <v>6</v>
      </c>
      <c r="H89" s="129">
        <v>5</v>
      </c>
      <c r="I89" s="129">
        <v>4</v>
      </c>
      <c r="J89" s="129"/>
      <c r="K89" s="129"/>
      <c r="L89" s="129"/>
      <c r="M89" s="129"/>
      <c r="N89" s="129"/>
      <c r="O89" s="129"/>
      <c r="P89" s="129"/>
      <c r="Q89" s="129"/>
      <c r="R89" t="s">
        <v>247</v>
      </c>
    </row>
    <row r="90" spans="1:18" ht="20">
      <c r="A90" s="129">
        <v>95</v>
      </c>
      <c r="B90" s="119" t="s">
        <v>26</v>
      </c>
      <c r="C90" s="119" t="s">
        <v>239</v>
      </c>
      <c r="D90" s="119" t="s">
        <v>234</v>
      </c>
      <c r="E90" s="129"/>
      <c r="F90" s="129"/>
      <c r="G90" s="129">
        <v>6</v>
      </c>
      <c r="H90" s="129">
        <v>7</v>
      </c>
      <c r="I90" s="129">
        <v>4</v>
      </c>
      <c r="J90" s="129"/>
      <c r="K90" s="129"/>
      <c r="L90" s="129"/>
      <c r="M90" s="129"/>
      <c r="N90" s="129"/>
      <c r="O90" s="129"/>
      <c r="P90" s="129"/>
      <c r="Q90" s="129"/>
      <c r="R90" t="s">
        <v>247</v>
      </c>
    </row>
    <row r="91" spans="1:18" ht="20">
      <c r="A91" s="129">
        <v>96</v>
      </c>
      <c r="B91" s="119" t="s">
        <v>26</v>
      </c>
      <c r="C91" s="119" t="s">
        <v>240</v>
      </c>
      <c r="D91" s="119" t="s">
        <v>116</v>
      </c>
      <c r="E91" s="129"/>
      <c r="F91" s="129"/>
      <c r="G91" s="129">
        <v>6</v>
      </c>
      <c r="H91" s="129">
        <v>7</v>
      </c>
      <c r="I91" s="129">
        <v>4</v>
      </c>
      <c r="J91" s="129"/>
      <c r="K91" s="129"/>
      <c r="L91" s="129"/>
      <c r="M91" s="129"/>
      <c r="N91" s="129"/>
      <c r="O91" s="129"/>
      <c r="P91" s="129"/>
      <c r="Q91" s="129"/>
      <c r="R91" t="s">
        <v>247</v>
      </c>
    </row>
    <row r="92" spans="1:18" ht="20">
      <c r="A92" s="129">
        <v>97</v>
      </c>
      <c r="B92" s="119" t="s">
        <v>26</v>
      </c>
      <c r="C92" s="119" t="s">
        <v>241</v>
      </c>
      <c r="D92" s="119" t="s">
        <v>235</v>
      </c>
      <c r="E92" s="129"/>
      <c r="F92" s="129"/>
      <c r="G92" s="129">
        <v>6</v>
      </c>
      <c r="H92" s="129">
        <v>7</v>
      </c>
      <c r="I92" s="129">
        <v>4</v>
      </c>
      <c r="J92" s="129"/>
      <c r="K92" s="129"/>
      <c r="L92" s="129"/>
      <c r="M92" s="129"/>
      <c r="N92" s="129"/>
      <c r="O92" s="129"/>
      <c r="P92" s="129"/>
      <c r="Q92" s="129"/>
      <c r="R92" t="s">
        <v>247</v>
      </c>
    </row>
    <row r="93" spans="1:18" ht="20">
      <c r="A93" s="129">
        <v>98</v>
      </c>
      <c r="B93" s="119" t="s">
        <v>26</v>
      </c>
      <c r="C93" s="119" t="s">
        <v>242</v>
      </c>
      <c r="D93" s="119" t="s">
        <v>178</v>
      </c>
      <c r="E93" s="129"/>
      <c r="F93" s="129"/>
      <c r="G93" s="129">
        <v>6</v>
      </c>
      <c r="H93" s="129">
        <v>5</v>
      </c>
      <c r="I93" s="129">
        <v>4</v>
      </c>
      <c r="J93" s="129"/>
      <c r="K93" s="129"/>
      <c r="L93" s="129"/>
      <c r="M93" s="129"/>
      <c r="N93" s="129"/>
      <c r="O93" s="129"/>
      <c r="P93" s="129"/>
      <c r="Q93" s="129"/>
      <c r="R93" t="s">
        <v>247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7C4FB-450B-4F19-AD2F-B5B84633981D}">
  <sheetPr codeName="Sheet2"/>
  <dimension ref="A1:AV233"/>
  <sheetViews>
    <sheetView zoomScaleNormal="100" workbookViewId="0">
      <pane xSplit="5" ySplit="4" topLeftCell="AH42" activePane="bottomRight" state="frozen"/>
      <selection pane="topRight" activeCell="E1" sqref="E1"/>
      <selection pane="bottomLeft" activeCell="A5" sqref="A5"/>
      <selection pane="bottomRight" activeCell="AX45" sqref="AX45"/>
    </sheetView>
  </sheetViews>
  <sheetFormatPr defaultRowHeight="20"/>
  <cols>
    <col min="1" max="1" width="4" style="3" customWidth="1"/>
    <col min="2" max="2" width="7.6328125" style="3" bestFit="1" customWidth="1"/>
    <col min="3" max="3" width="10.7265625" style="2" customWidth="1"/>
    <col min="4" max="4" width="12.6328125" style="2" customWidth="1"/>
    <col min="5" max="5" width="8.36328125" style="2" customWidth="1"/>
    <col min="6" max="6" width="9" style="2" customWidth="1"/>
    <col min="7" max="7" width="16.26953125" style="2" customWidth="1"/>
    <col min="8" max="8" width="8.984375E-2" style="2" customWidth="1"/>
    <col min="9" max="10" width="4.7265625" style="3" customWidth="1"/>
    <col min="11" max="11" width="6.08984375" style="3" customWidth="1"/>
    <col min="12" max="13" width="4.7265625" style="3" customWidth="1"/>
    <col min="14" max="14" width="6" style="3" customWidth="1"/>
    <col min="15" max="15" width="4.7265625" style="3" customWidth="1"/>
    <col min="16" max="16" width="5" style="3" customWidth="1"/>
    <col min="17" max="17" width="6.36328125" style="3" customWidth="1"/>
    <col min="18" max="18" width="4.7265625" style="1" customWidth="1"/>
    <col min="19" max="19" width="5.36328125" style="1" customWidth="1"/>
    <col min="20" max="20" width="5.90625" style="1" customWidth="1"/>
    <col min="21" max="21" width="4.7265625" style="3" customWidth="1"/>
    <col min="22" max="22" width="6.6328125" style="3" customWidth="1"/>
    <col min="23" max="23" width="5.08984375" style="3" customWidth="1"/>
    <col min="24" max="24" width="4.7265625" style="1" customWidth="1"/>
    <col min="25" max="25" width="5.36328125" style="1" customWidth="1"/>
    <col min="26" max="26" width="5.7265625" style="1" customWidth="1"/>
    <col min="27" max="28" width="4.7265625" style="1" customWidth="1"/>
    <col min="29" max="29" width="5" style="1" customWidth="1"/>
    <col min="30" max="30" width="4.7265625" style="1" customWidth="1"/>
    <col min="31" max="32" width="5.08984375" style="1" customWidth="1"/>
    <col min="33" max="33" width="4.7265625" style="4" customWidth="1"/>
    <col min="34" max="34" width="5.08984375" style="4" customWidth="1"/>
    <col min="35" max="36" width="4.7265625" style="4" customWidth="1"/>
    <col min="37" max="37" width="5.26953125" style="4" customWidth="1"/>
    <col min="38" max="43" width="4.7265625" style="4" customWidth="1"/>
    <col min="44" max="44" width="5.6328125" style="4" customWidth="1"/>
    <col min="45" max="45" width="10.26953125" style="1" customWidth="1"/>
    <col min="46" max="47" width="8.81640625" style="1"/>
    <col min="48" max="48" width="17.1796875" bestFit="1" customWidth="1"/>
  </cols>
  <sheetData>
    <row r="1" spans="1:48" ht="26.25" customHeight="1">
      <c r="A1" s="249" t="s">
        <v>214</v>
      </c>
      <c r="B1" s="249"/>
      <c r="C1" s="249"/>
      <c r="D1" s="249"/>
      <c r="E1" s="249"/>
      <c r="F1" s="249"/>
      <c r="G1" s="249"/>
      <c r="R1" s="3"/>
      <c r="S1" s="3"/>
      <c r="T1" s="3"/>
      <c r="X1" s="3"/>
      <c r="Y1" s="3"/>
      <c r="Z1" s="3"/>
      <c r="AA1" s="3"/>
      <c r="AB1" s="3"/>
      <c r="AC1" s="3"/>
      <c r="AD1" s="3"/>
      <c r="AE1" s="3"/>
      <c r="AF1" s="3"/>
    </row>
    <row r="2" spans="1:48" ht="26.25" customHeight="1">
      <c r="A2" s="249" t="s">
        <v>215</v>
      </c>
      <c r="B2" s="249"/>
      <c r="C2" s="249"/>
      <c r="D2" s="249"/>
      <c r="E2" s="249"/>
      <c r="F2" s="249"/>
      <c r="G2" s="249"/>
      <c r="R2" s="3"/>
      <c r="S2" s="3"/>
      <c r="T2" s="3"/>
      <c r="X2" s="3"/>
      <c r="Y2" s="3"/>
      <c r="Z2" s="3"/>
      <c r="AA2" s="3"/>
      <c r="AB2" s="3"/>
      <c r="AC2" s="3"/>
      <c r="AD2" s="3"/>
      <c r="AE2" s="3"/>
      <c r="AF2" s="3"/>
    </row>
    <row r="3" spans="1:48">
      <c r="R3" s="3"/>
      <c r="S3" s="3"/>
      <c r="T3" s="3"/>
      <c r="X3" s="3"/>
      <c r="Y3" s="3"/>
      <c r="Z3" s="3"/>
      <c r="AA3" s="3"/>
      <c r="AB3" s="3"/>
      <c r="AC3" s="3"/>
      <c r="AD3" s="3"/>
      <c r="AE3" s="3"/>
      <c r="AF3" s="3"/>
      <c r="AV3" s="242" t="s">
        <v>248</v>
      </c>
    </row>
    <row r="4" spans="1:48" ht="20.5">
      <c r="A4" s="168" t="s">
        <v>0</v>
      </c>
      <c r="B4" s="5" t="s">
        <v>1</v>
      </c>
      <c r="C4" s="5" t="s">
        <v>2</v>
      </c>
      <c r="D4" s="169" t="s">
        <v>3</v>
      </c>
      <c r="E4" s="5" t="s">
        <v>4</v>
      </c>
      <c r="F4" s="5" t="s">
        <v>5</v>
      </c>
      <c r="G4" s="5" t="s">
        <v>6</v>
      </c>
      <c r="H4" s="6" t="s">
        <v>10</v>
      </c>
      <c r="I4" s="7" t="s">
        <v>11</v>
      </c>
      <c r="J4" s="7" t="s">
        <v>12</v>
      </c>
      <c r="K4" s="8" t="s">
        <v>13</v>
      </c>
      <c r="L4" s="9" t="s">
        <v>14</v>
      </c>
      <c r="M4" s="7" t="s">
        <v>12</v>
      </c>
      <c r="N4" s="8" t="s">
        <v>13</v>
      </c>
      <c r="O4" s="9" t="s">
        <v>15</v>
      </c>
      <c r="P4" s="7" t="s">
        <v>12</v>
      </c>
      <c r="Q4" s="8" t="s">
        <v>13</v>
      </c>
      <c r="R4" s="10" t="s">
        <v>16</v>
      </c>
      <c r="S4" s="7" t="s">
        <v>12</v>
      </c>
      <c r="T4" s="8" t="s">
        <v>13</v>
      </c>
      <c r="U4" s="9" t="s">
        <v>17</v>
      </c>
      <c r="V4" s="7" t="s">
        <v>12</v>
      </c>
      <c r="W4" s="8" t="s">
        <v>13</v>
      </c>
      <c r="X4" s="11" t="s">
        <v>18</v>
      </c>
      <c r="Y4" s="7" t="s">
        <v>12</v>
      </c>
      <c r="Z4" s="8" t="s">
        <v>13</v>
      </c>
      <c r="AA4" s="11" t="s">
        <v>19</v>
      </c>
      <c r="AB4" s="7" t="s">
        <v>12</v>
      </c>
      <c r="AC4" s="8" t="s">
        <v>13</v>
      </c>
      <c r="AD4" s="11" t="s">
        <v>20</v>
      </c>
      <c r="AE4" s="7" t="s">
        <v>12</v>
      </c>
      <c r="AF4" s="8" t="s">
        <v>13</v>
      </c>
      <c r="AG4" s="11" t="s">
        <v>21</v>
      </c>
      <c r="AH4" s="7" t="s">
        <v>12</v>
      </c>
      <c r="AI4" s="8" t="s">
        <v>13</v>
      </c>
      <c r="AJ4" s="11" t="s">
        <v>22</v>
      </c>
      <c r="AK4" s="7" t="s">
        <v>12</v>
      </c>
      <c r="AL4" s="8" t="s">
        <v>13</v>
      </c>
      <c r="AM4" s="11" t="s">
        <v>23</v>
      </c>
      <c r="AN4" s="7" t="s">
        <v>12</v>
      </c>
      <c r="AO4" s="8" t="s">
        <v>13</v>
      </c>
      <c r="AP4" s="11" t="s">
        <v>24</v>
      </c>
      <c r="AQ4" s="7" t="s">
        <v>12</v>
      </c>
      <c r="AR4" s="8" t="s">
        <v>13</v>
      </c>
      <c r="AS4" s="12" t="s">
        <v>25</v>
      </c>
      <c r="AT4" s="6" t="s">
        <v>7</v>
      </c>
      <c r="AU4" s="6" t="s">
        <v>8</v>
      </c>
      <c r="AV4" s="243" t="s">
        <v>249</v>
      </c>
    </row>
    <row r="5" spans="1:48">
      <c r="A5" s="13">
        <v>1</v>
      </c>
      <c r="B5" s="241" t="s">
        <v>26</v>
      </c>
      <c r="C5" s="241" t="s">
        <v>27</v>
      </c>
      <c r="D5" s="15" t="s">
        <v>28</v>
      </c>
      <c r="E5" s="16">
        <v>14900</v>
      </c>
      <c r="F5" s="17">
        <v>237956</v>
      </c>
      <c r="G5" s="18" t="s">
        <v>29</v>
      </c>
      <c r="H5" s="203"/>
      <c r="I5" s="19">
        <v>23.5</v>
      </c>
      <c r="J5" s="20">
        <v>32</v>
      </c>
      <c r="K5" s="21"/>
      <c r="L5" s="22">
        <v>23</v>
      </c>
      <c r="M5" s="23"/>
      <c r="N5" s="24"/>
      <c r="O5" s="25">
        <v>24</v>
      </c>
      <c r="P5" s="20">
        <v>1</v>
      </c>
      <c r="Q5" s="21"/>
      <c r="R5" s="26">
        <v>18</v>
      </c>
      <c r="S5" s="27">
        <v>1</v>
      </c>
      <c r="T5" s="28"/>
      <c r="U5" s="26">
        <v>21</v>
      </c>
      <c r="V5" s="27">
        <v>8</v>
      </c>
      <c r="W5" s="28"/>
      <c r="X5" s="29">
        <v>22.5</v>
      </c>
      <c r="Y5" s="30"/>
      <c r="Z5" s="31"/>
      <c r="AA5" s="29">
        <v>25</v>
      </c>
      <c r="AB5" s="30">
        <v>72</v>
      </c>
      <c r="AC5" s="31"/>
      <c r="AD5" s="29">
        <v>23</v>
      </c>
      <c r="AE5" s="30">
        <v>80</v>
      </c>
      <c r="AF5" s="32"/>
      <c r="AG5" s="22">
        <v>25</v>
      </c>
      <c r="AH5" s="33">
        <v>63</v>
      </c>
      <c r="AI5" s="24"/>
      <c r="AJ5" s="22">
        <v>22</v>
      </c>
      <c r="AK5" s="33">
        <v>33</v>
      </c>
      <c r="AL5" s="24"/>
      <c r="AM5" s="22">
        <v>23.5</v>
      </c>
      <c r="AN5" s="33">
        <v>40</v>
      </c>
      <c r="AO5" s="34"/>
      <c r="AP5" s="22">
        <v>24</v>
      </c>
      <c r="AQ5" s="35">
        <v>28</v>
      </c>
      <c r="AR5" s="36"/>
      <c r="AS5" s="37">
        <f t="shared" ref="AS5:AU20" si="0">SUM(I5+L5+O5+R5+U5+X5+AA5+AD5+AG5+AJ5+AM5+AP5)</f>
        <v>274.5</v>
      </c>
      <c r="AT5" s="38">
        <f t="shared" si="0"/>
        <v>358</v>
      </c>
      <c r="AU5" s="38">
        <f t="shared" si="0"/>
        <v>0</v>
      </c>
      <c r="AV5" s="18" t="s">
        <v>12</v>
      </c>
    </row>
    <row r="6" spans="1:48">
      <c r="A6" s="13">
        <v>2</v>
      </c>
      <c r="B6" s="241" t="s">
        <v>30</v>
      </c>
      <c r="C6" s="241" t="s">
        <v>31</v>
      </c>
      <c r="D6" s="39" t="s">
        <v>32</v>
      </c>
      <c r="E6" s="40">
        <v>13500</v>
      </c>
      <c r="F6" s="41">
        <v>242463</v>
      </c>
      <c r="G6" s="42" t="s">
        <v>29</v>
      </c>
      <c r="H6" s="203">
        <v>5.5</v>
      </c>
      <c r="I6" s="43">
        <v>21.5</v>
      </c>
      <c r="J6" s="20"/>
      <c r="K6" s="21"/>
      <c r="L6" s="44">
        <v>22</v>
      </c>
      <c r="M6" s="23"/>
      <c r="N6" s="45"/>
      <c r="O6" s="46">
        <v>23.5</v>
      </c>
      <c r="P6" s="43">
        <v>8</v>
      </c>
      <c r="Q6" s="47"/>
      <c r="R6" s="48">
        <v>21</v>
      </c>
      <c r="S6" s="49"/>
      <c r="T6" s="50"/>
      <c r="U6" s="51">
        <v>23</v>
      </c>
      <c r="V6" s="52"/>
      <c r="W6" s="53"/>
      <c r="X6" s="54">
        <v>22.5</v>
      </c>
      <c r="Y6" s="55"/>
      <c r="Z6" s="56"/>
      <c r="AA6" s="54">
        <v>26</v>
      </c>
      <c r="AB6" s="55">
        <v>72</v>
      </c>
      <c r="AC6" s="56"/>
      <c r="AD6" s="54">
        <v>24.5</v>
      </c>
      <c r="AE6" s="55">
        <v>56</v>
      </c>
      <c r="AF6" s="56"/>
      <c r="AG6" s="57">
        <v>25</v>
      </c>
      <c r="AH6" s="58">
        <v>58</v>
      </c>
      <c r="AI6" s="45">
        <v>1</v>
      </c>
      <c r="AJ6" s="57">
        <v>24</v>
      </c>
      <c r="AK6" s="58">
        <v>43</v>
      </c>
      <c r="AL6" s="45"/>
      <c r="AM6" s="57">
        <v>23</v>
      </c>
      <c r="AN6" s="58">
        <v>56</v>
      </c>
      <c r="AO6" s="45">
        <v>1</v>
      </c>
      <c r="AP6" s="57">
        <v>23</v>
      </c>
      <c r="AQ6" s="58">
        <v>12</v>
      </c>
      <c r="AR6" s="45"/>
      <c r="AS6" s="37">
        <f t="shared" si="0"/>
        <v>279</v>
      </c>
      <c r="AT6" s="38">
        <f t="shared" si="0"/>
        <v>305</v>
      </c>
      <c r="AU6" s="38">
        <f t="shared" si="0"/>
        <v>2</v>
      </c>
      <c r="AV6" s="18" t="s">
        <v>12</v>
      </c>
    </row>
    <row r="7" spans="1:48">
      <c r="A7" s="13">
        <v>3</v>
      </c>
      <c r="B7" s="241" t="s">
        <v>26</v>
      </c>
      <c r="C7" s="241" t="s">
        <v>33</v>
      </c>
      <c r="D7" s="15" t="s">
        <v>34</v>
      </c>
      <c r="E7" s="40">
        <v>20000</v>
      </c>
      <c r="F7" s="59">
        <v>234669</v>
      </c>
      <c r="G7" s="56" t="s">
        <v>29</v>
      </c>
      <c r="H7" s="203"/>
      <c r="I7" s="19">
        <v>22.5</v>
      </c>
      <c r="J7" s="43"/>
      <c r="K7" s="47"/>
      <c r="L7" s="44">
        <v>23</v>
      </c>
      <c r="M7" s="43">
        <v>1</v>
      </c>
      <c r="N7" s="47"/>
      <c r="O7" s="25">
        <v>25.5</v>
      </c>
      <c r="P7" s="19">
        <v>1</v>
      </c>
      <c r="Q7" s="60"/>
      <c r="R7" s="51">
        <v>22.5</v>
      </c>
      <c r="S7" s="52"/>
      <c r="T7" s="53"/>
      <c r="U7" s="61">
        <v>24.5</v>
      </c>
      <c r="V7" s="62">
        <v>2</v>
      </c>
      <c r="W7" s="63"/>
      <c r="X7" s="54">
        <v>22</v>
      </c>
      <c r="Y7" s="55"/>
      <c r="Z7" s="56"/>
      <c r="AA7" s="54">
        <v>24</v>
      </c>
      <c r="AB7" s="55"/>
      <c r="AC7" s="56"/>
      <c r="AD7" s="54">
        <v>24.5</v>
      </c>
      <c r="AE7" s="55"/>
      <c r="AF7" s="56"/>
      <c r="AG7" s="57">
        <v>26</v>
      </c>
      <c r="AH7" s="58">
        <v>3</v>
      </c>
      <c r="AI7" s="45"/>
      <c r="AJ7" s="57">
        <v>25</v>
      </c>
      <c r="AK7" s="58">
        <v>1</v>
      </c>
      <c r="AL7" s="45"/>
      <c r="AM7" s="57">
        <v>24</v>
      </c>
      <c r="AN7" s="58">
        <v>3</v>
      </c>
      <c r="AO7" s="45"/>
      <c r="AP7" s="57">
        <v>14</v>
      </c>
      <c r="AQ7" s="35">
        <v>1</v>
      </c>
      <c r="AR7" s="36"/>
      <c r="AS7" s="37">
        <f t="shared" si="0"/>
        <v>277.5</v>
      </c>
      <c r="AT7" s="38">
        <f t="shared" si="0"/>
        <v>12</v>
      </c>
      <c r="AU7" s="38">
        <f t="shared" si="0"/>
        <v>0</v>
      </c>
      <c r="AV7" s="18" t="s">
        <v>12</v>
      </c>
    </row>
    <row r="8" spans="1:48">
      <c r="A8" s="13">
        <v>4</v>
      </c>
      <c r="B8" s="241" t="s">
        <v>36</v>
      </c>
      <c r="C8" s="241" t="s">
        <v>37</v>
      </c>
      <c r="D8" s="74" t="s">
        <v>38</v>
      </c>
      <c r="E8" s="75" t="s">
        <v>216</v>
      </c>
      <c r="F8" s="41">
        <v>235272</v>
      </c>
      <c r="G8" s="56" t="s">
        <v>40</v>
      </c>
      <c r="H8" s="204"/>
      <c r="I8" s="19">
        <v>25</v>
      </c>
      <c r="J8" s="19">
        <v>100</v>
      </c>
      <c r="K8" s="60">
        <v>1</v>
      </c>
      <c r="L8" s="57">
        <v>23</v>
      </c>
      <c r="M8" s="58">
        <v>88</v>
      </c>
      <c r="N8" s="45">
        <v>4</v>
      </c>
      <c r="O8" s="76">
        <v>26</v>
      </c>
      <c r="P8" s="76">
        <v>28</v>
      </c>
      <c r="Q8" s="77"/>
      <c r="R8" s="51">
        <v>21</v>
      </c>
      <c r="S8" s="52">
        <v>64</v>
      </c>
      <c r="T8" s="53"/>
      <c r="U8" s="66">
        <v>25</v>
      </c>
      <c r="V8" s="67">
        <v>26</v>
      </c>
      <c r="W8" s="68"/>
      <c r="X8" s="69">
        <v>23.5</v>
      </c>
      <c r="Y8" s="55">
        <v>73</v>
      </c>
      <c r="Z8" s="70"/>
      <c r="AA8" s="69">
        <v>25.5</v>
      </c>
      <c r="AB8" s="71">
        <v>92</v>
      </c>
      <c r="AC8" s="70"/>
      <c r="AD8" s="69">
        <v>23.5</v>
      </c>
      <c r="AE8" s="71">
        <v>24</v>
      </c>
      <c r="AF8" s="70"/>
      <c r="AG8" s="57">
        <v>25</v>
      </c>
      <c r="AH8" s="58">
        <v>92</v>
      </c>
      <c r="AI8" s="45">
        <v>2</v>
      </c>
      <c r="AJ8" s="57">
        <v>25.5</v>
      </c>
      <c r="AK8" s="58">
        <v>63</v>
      </c>
      <c r="AL8" s="45"/>
      <c r="AM8" s="57">
        <v>25</v>
      </c>
      <c r="AN8" s="58">
        <v>88</v>
      </c>
      <c r="AO8" s="45"/>
      <c r="AP8" s="57">
        <v>24</v>
      </c>
      <c r="AQ8" s="72">
        <v>88</v>
      </c>
      <c r="AR8" s="73"/>
      <c r="AS8" s="37">
        <f t="shared" si="0"/>
        <v>292</v>
      </c>
      <c r="AT8" s="38">
        <f t="shared" si="0"/>
        <v>826</v>
      </c>
      <c r="AU8" s="38">
        <f t="shared" si="0"/>
        <v>7</v>
      </c>
      <c r="AV8" s="18" t="s">
        <v>12</v>
      </c>
    </row>
    <row r="9" spans="1:48">
      <c r="A9" s="13">
        <v>5</v>
      </c>
      <c r="B9" s="241" t="s">
        <v>36</v>
      </c>
      <c r="C9" s="241" t="s">
        <v>41</v>
      </c>
      <c r="D9" s="74" t="s">
        <v>42</v>
      </c>
      <c r="E9" s="75" t="s">
        <v>217</v>
      </c>
      <c r="F9" s="41">
        <v>243871</v>
      </c>
      <c r="G9" s="56" t="s">
        <v>43</v>
      </c>
      <c r="H9" s="204"/>
      <c r="I9" s="19">
        <v>18</v>
      </c>
      <c r="J9" s="20">
        <v>18.5</v>
      </c>
      <c r="K9" s="21"/>
      <c r="L9" s="78">
        <v>20</v>
      </c>
      <c r="M9" s="23">
        <v>32.5</v>
      </c>
      <c r="N9" s="24"/>
      <c r="O9" s="76">
        <v>22.5</v>
      </c>
      <c r="P9" s="76">
        <v>25</v>
      </c>
      <c r="Q9" s="77"/>
      <c r="R9" s="51">
        <v>14.5</v>
      </c>
      <c r="S9" s="52">
        <v>18.5</v>
      </c>
      <c r="T9" s="53"/>
      <c r="U9" s="66">
        <v>24.5</v>
      </c>
      <c r="V9" s="67">
        <v>48.5</v>
      </c>
      <c r="W9" s="68"/>
      <c r="X9" s="69">
        <v>15</v>
      </c>
      <c r="Y9" s="55">
        <v>36</v>
      </c>
      <c r="Z9" s="70"/>
      <c r="AA9" s="69">
        <v>22.5</v>
      </c>
      <c r="AB9" s="71">
        <v>41</v>
      </c>
      <c r="AC9" s="70"/>
      <c r="AD9" s="69">
        <v>22</v>
      </c>
      <c r="AE9" s="71">
        <v>39.5</v>
      </c>
      <c r="AF9" s="70"/>
      <c r="AG9" s="57">
        <v>23</v>
      </c>
      <c r="AH9" s="58">
        <v>70.5</v>
      </c>
      <c r="AI9" s="45">
        <v>1</v>
      </c>
      <c r="AJ9" s="57">
        <v>23</v>
      </c>
      <c r="AK9" s="58">
        <v>60</v>
      </c>
      <c r="AL9" s="45"/>
      <c r="AM9" s="57">
        <v>22.5</v>
      </c>
      <c r="AN9" s="58">
        <v>38.5</v>
      </c>
      <c r="AO9" s="45"/>
      <c r="AP9" s="57">
        <v>17</v>
      </c>
      <c r="AQ9" s="72">
        <v>25</v>
      </c>
      <c r="AR9" s="73"/>
      <c r="AS9" s="37">
        <f t="shared" si="0"/>
        <v>244.5</v>
      </c>
      <c r="AT9" s="38">
        <f t="shared" si="0"/>
        <v>453.5</v>
      </c>
      <c r="AU9" s="38">
        <f t="shared" si="0"/>
        <v>1</v>
      </c>
      <c r="AV9" s="18" t="s">
        <v>12</v>
      </c>
    </row>
    <row r="10" spans="1:48">
      <c r="A10" s="13">
        <v>6</v>
      </c>
      <c r="B10" s="241" t="s">
        <v>36</v>
      </c>
      <c r="C10" s="241" t="s">
        <v>44</v>
      </c>
      <c r="D10" s="74" t="s">
        <v>45</v>
      </c>
      <c r="E10" s="75" t="s">
        <v>218</v>
      </c>
      <c r="F10" s="41">
        <v>243740</v>
      </c>
      <c r="G10" s="56" t="s">
        <v>46</v>
      </c>
      <c r="H10" s="204"/>
      <c r="I10" s="19">
        <v>25</v>
      </c>
      <c r="J10" s="20"/>
      <c r="K10" s="21"/>
      <c r="L10" s="78">
        <v>24</v>
      </c>
      <c r="M10" s="23">
        <v>26</v>
      </c>
      <c r="N10" s="24"/>
      <c r="O10" s="76">
        <v>26</v>
      </c>
      <c r="P10" s="76"/>
      <c r="Q10" s="77"/>
      <c r="R10" s="51">
        <v>23</v>
      </c>
      <c r="S10" s="52">
        <v>1</v>
      </c>
      <c r="T10" s="53"/>
      <c r="U10" s="66">
        <v>25</v>
      </c>
      <c r="V10" s="67">
        <v>9.5</v>
      </c>
      <c r="W10" s="68"/>
      <c r="X10" s="69">
        <v>21</v>
      </c>
      <c r="Y10" s="55">
        <v>2</v>
      </c>
      <c r="Z10" s="70"/>
      <c r="AA10" s="69">
        <v>24</v>
      </c>
      <c r="AB10" s="71">
        <v>1</v>
      </c>
      <c r="AC10" s="70"/>
      <c r="AD10" s="69">
        <v>24</v>
      </c>
      <c r="AE10" s="71">
        <v>68</v>
      </c>
      <c r="AF10" s="70"/>
      <c r="AG10" s="57">
        <v>26</v>
      </c>
      <c r="AH10" s="58">
        <v>92</v>
      </c>
      <c r="AI10" s="45">
        <v>2</v>
      </c>
      <c r="AJ10" s="57">
        <v>26</v>
      </c>
      <c r="AK10" s="58">
        <v>71</v>
      </c>
      <c r="AL10" s="45"/>
      <c r="AM10" s="57">
        <v>23.5</v>
      </c>
      <c r="AN10" s="58">
        <v>40</v>
      </c>
      <c r="AO10" s="45"/>
      <c r="AP10" s="57">
        <v>21</v>
      </c>
      <c r="AQ10" s="72"/>
      <c r="AR10" s="73"/>
      <c r="AS10" s="37">
        <f t="shared" si="0"/>
        <v>288.5</v>
      </c>
      <c r="AT10" s="38">
        <f t="shared" si="0"/>
        <v>310.5</v>
      </c>
      <c r="AU10" s="38">
        <f t="shared" si="0"/>
        <v>2</v>
      </c>
      <c r="AV10" s="56" t="s">
        <v>251</v>
      </c>
    </row>
    <row r="11" spans="1:48">
      <c r="A11" s="13">
        <v>7</v>
      </c>
      <c r="B11" s="241" t="s">
        <v>26</v>
      </c>
      <c r="C11" s="241" t="s">
        <v>47</v>
      </c>
      <c r="D11" s="74" t="s">
        <v>48</v>
      </c>
      <c r="E11" s="75" t="s">
        <v>218</v>
      </c>
      <c r="F11" s="79">
        <v>238512</v>
      </c>
      <c r="G11" s="56" t="s">
        <v>49</v>
      </c>
      <c r="H11" s="171"/>
      <c r="I11" s="19">
        <v>20.5</v>
      </c>
      <c r="J11" s="20"/>
      <c r="K11" s="21"/>
      <c r="L11" s="78">
        <v>22</v>
      </c>
      <c r="M11" s="23"/>
      <c r="N11" s="24"/>
      <c r="O11" s="76">
        <v>22.5</v>
      </c>
      <c r="P11" s="76"/>
      <c r="Q11" s="77"/>
      <c r="R11" s="51">
        <v>20.5</v>
      </c>
      <c r="S11" s="52"/>
      <c r="T11" s="53"/>
      <c r="U11" s="66">
        <v>23</v>
      </c>
      <c r="V11" s="67"/>
      <c r="W11" s="68"/>
      <c r="X11" s="69">
        <v>21</v>
      </c>
      <c r="Y11" s="55"/>
      <c r="Z11" s="70"/>
      <c r="AA11" s="69">
        <v>25</v>
      </c>
      <c r="AB11" s="71"/>
      <c r="AC11" s="70"/>
      <c r="AD11" s="69">
        <v>23</v>
      </c>
      <c r="AE11" s="71"/>
      <c r="AF11" s="70"/>
      <c r="AG11" s="57">
        <v>24</v>
      </c>
      <c r="AH11" s="58"/>
      <c r="AI11" s="45"/>
      <c r="AJ11" s="57">
        <v>20.5</v>
      </c>
      <c r="AK11" s="58"/>
      <c r="AL11" s="45"/>
      <c r="AM11" s="57">
        <v>24.4</v>
      </c>
      <c r="AN11" s="58"/>
      <c r="AO11" s="45"/>
      <c r="AP11" s="57">
        <v>25</v>
      </c>
      <c r="AQ11" s="58"/>
      <c r="AR11" s="45"/>
      <c r="AS11" s="37">
        <f t="shared" si="0"/>
        <v>271.39999999999998</v>
      </c>
      <c r="AT11" s="38">
        <f t="shared" si="0"/>
        <v>0</v>
      </c>
      <c r="AU11" s="38">
        <f t="shared" si="0"/>
        <v>0</v>
      </c>
      <c r="AV11" s="18" t="s">
        <v>12</v>
      </c>
    </row>
    <row r="12" spans="1:48">
      <c r="A12" s="13">
        <v>8</v>
      </c>
      <c r="B12" s="241" t="s">
        <v>26</v>
      </c>
      <c r="C12" s="241" t="s">
        <v>50</v>
      </c>
      <c r="D12" s="74" t="s">
        <v>51</v>
      </c>
      <c r="E12" s="65" t="s">
        <v>209</v>
      </c>
      <c r="F12" s="41">
        <v>240984</v>
      </c>
      <c r="G12" s="18" t="s">
        <v>35</v>
      </c>
      <c r="H12" s="171"/>
      <c r="I12" s="19">
        <v>21.5</v>
      </c>
      <c r="J12" s="20">
        <v>56</v>
      </c>
      <c r="K12" s="21"/>
      <c r="L12" s="78">
        <v>21</v>
      </c>
      <c r="M12" s="23">
        <v>52</v>
      </c>
      <c r="N12" s="24"/>
      <c r="O12" s="76">
        <v>23.5</v>
      </c>
      <c r="P12" s="76">
        <v>24</v>
      </c>
      <c r="Q12" s="77"/>
      <c r="R12" s="51">
        <v>19</v>
      </c>
      <c r="S12" s="52">
        <v>48</v>
      </c>
      <c r="T12" s="53"/>
      <c r="U12" s="66">
        <v>20</v>
      </c>
      <c r="V12" s="67">
        <v>36</v>
      </c>
      <c r="W12" s="68"/>
      <c r="X12" s="69">
        <v>11</v>
      </c>
      <c r="Y12" s="55">
        <v>20</v>
      </c>
      <c r="Z12" s="70"/>
      <c r="AA12" s="69">
        <v>21</v>
      </c>
      <c r="AB12" s="71">
        <v>60</v>
      </c>
      <c r="AC12" s="70"/>
      <c r="AD12" s="69">
        <v>21</v>
      </c>
      <c r="AE12" s="71">
        <v>64</v>
      </c>
      <c r="AF12" s="70"/>
      <c r="AG12" s="57">
        <v>24</v>
      </c>
      <c r="AH12" s="58">
        <v>72</v>
      </c>
      <c r="AI12" s="45"/>
      <c r="AJ12" s="57">
        <v>24.5</v>
      </c>
      <c r="AK12" s="58">
        <v>68</v>
      </c>
      <c r="AL12" s="45"/>
      <c r="AM12" s="57">
        <v>22.5</v>
      </c>
      <c r="AN12" s="58">
        <v>60</v>
      </c>
      <c r="AO12" s="45"/>
      <c r="AP12" s="57">
        <v>22.5</v>
      </c>
      <c r="AQ12" s="35">
        <v>56</v>
      </c>
      <c r="AR12" s="36"/>
      <c r="AS12" s="37">
        <f t="shared" si="0"/>
        <v>251.5</v>
      </c>
      <c r="AT12" s="38">
        <f t="shared" si="0"/>
        <v>616</v>
      </c>
      <c r="AU12" s="38">
        <f t="shared" si="0"/>
        <v>0</v>
      </c>
      <c r="AV12" s="18" t="s">
        <v>12</v>
      </c>
    </row>
    <row r="13" spans="1:48">
      <c r="A13" s="13">
        <v>9</v>
      </c>
      <c r="B13" s="241" t="s">
        <v>36</v>
      </c>
      <c r="C13" s="241" t="s">
        <v>52</v>
      </c>
      <c r="D13" s="74" t="s">
        <v>53</v>
      </c>
      <c r="E13" s="80" t="s">
        <v>218</v>
      </c>
      <c r="F13" s="41">
        <v>242303</v>
      </c>
      <c r="G13" s="56" t="s">
        <v>40</v>
      </c>
      <c r="H13" s="204"/>
      <c r="I13" s="19">
        <v>22</v>
      </c>
      <c r="J13" s="76"/>
      <c r="K13" s="77"/>
      <c r="L13" s="81">
        <v>21.5</v>
      </c>
      <c r="M13" s="72">
        <v>48</v>
      </c>
      <c r="N13" s="73"/>
      <c r="O13" s="76">
        <v>24.5</v>
      </c>
      <c r="P13" s="76">
        <v>4</v>
      </c>
      <c r="Q13" s="77"/>
      <c r="R13" s="51">
        <v>20</v>
      </c>
      <c r="S13" s="52">
        <v>8</v>
      </c>
      <c r="T13" s="53"/>
      <c r="U13" s="66">
        <v>23.5</v>
      </c>
      <c r="V13" s="67">
        <v>18.5</v>
      </c>
      <c r="W13" s="68"/>
      <c r="X13" s="82">
        <v>18</v>
      </c>
      <c r="Y13" s="55">
        <v>12</v>
      </c>
      <c r="Z13" s="83"/>
      <c r="AA13" s="82">
        <v>24</v>
      </c>
      <c r="AB13" s="84">
        <v>44</v>
      </c>
      <c r="AC13" s="83"/>
      <c r="AD13" s="82">
        <v>22.5</v>
      </c>
      <c r="AE13" s="84">
        <v>24</v>
      </c>
      <c r="AF13" s="83"/>
      <c r="AG13" s="78">
        <v>25</v>
      </c>
      <c r="AH13" s="23">
        <v>54</v>
      </c>
      <c r="AI13" s="24"/>
      <c r="AJ13" s="78">
        <v>20.5</v>
      </c>
      <c r="AK13" s="23">
        <v>19</v>
      </c>
      <c r="AL13" s="24"/>
      <c r="AM13" s="78">
        <v>21</v>
      </c>
      <c r="AN13" s="23">
        <v>12</v>
      </c>
      <c r="AO13" s="24"/>
      <c r="AP13" s="78">
        <v>20</v>
      </c>
      <c r="AQ13" s="58">
        <v>16</v>
      </c>
      <c r="AR13" s="45"/>
      <c r="AS13" s="37">
        <f t="shared" si="0"/>
        <v>262.5</v>
      </c>
      <c r="AT13" s="38">
        <f t="shared" si="0"/>
        <v>259.5</v>
      </c>
      <c r="AU13" s="38">
        <f t="shared" si="0"/>
        <v>0</v>
      </c>
      <c r="AV13" s="18" t="s">
        <v>12</v>
      </c>
    </row>
    <row r="14" spans="1:48">
      <c r="A14" s="13">
        <v>10</v>
      </c>
      <c r="B14" s="241" t="s">
        <v>30</v>
      </c>
      <c r="C14" s="241" t="s">
        <v>54</v>
      </c>
      <c r="D14" s="74" t="s">
        <v>55</v>
      </c>
      <c r="E14" s="80" t="s">
        <v>93</v>
      </c>
      <c r="F14" s="59">
        <v>235354</v>
      </c>
      <c r="G14" s="32" t="s">
        <v>56</v>
      </c>
      <c r="H14" s="204"/>
      <c r="I14" s="19">
        <v>23</v>
      </c>
      <c r="J14" s="19">
        <v>84</v>
      </c>
      <c r="K14" s="60"/>
      <c r="L14" s="57">
        <v>22.5</v>
      </c>
      <c r="M14" s="58">
        <v>76</v>
      </c>
      <c r="N14" s="45"/>
      <c r="O14" s="25">
        <v>26</v>
      </c>
      <c r="P14" s="76">
        <v>92</v>
      </c>
      <c r="Q14" s="77"/>
      <c r="R14" s="51">
        <v>21</v>
      </c>
      <c r="S14" s="52">
        <v>72</v>
      </c>
      <c r="T14" s="53"/>
      <c r="U14" s="66">
        <v>26</v>
      </c>
      <c r="V14" s="67">
        <v>88</v>
      </c>
      <c r="W14" s="68"/>
      <c r="X14" s="69">
        <v>23</v>
      </c>
      <c r="Y14" s="55">
        <v>73</v>
      </c>
      <c r="Z14" s="70"/>
      <c r="AA14" s="69">
        <v>23</v>
      </c>
      <c r="AB14" s="71">
        <v>92</v>
      </c>
      <c r="AC14" s="70"/>
      <c r="AD14" s="69">
        <v>23.5</v>
      </c>
      <c r="AE14" s="71">
        <v>84</v>
      </c>
      <c r="AF14" s="70"/>
      <c r="AG14" s="57">
        <v>25</v>
      </c>
      <c r="AH14" s="58">
        <v>94</v>
      </c>
      <c r="AI14" s="45">
        <v>2</v>
      </c>
      <c r="AJ14" s="57">
        <v>25</v>
      </c>
      <c r="AK14" s="58">
        <v>96</v>
      </c>
      <c r="AL14" s="45"/>
      <c r="AM14" s="57">
        <v>23.5</v>
      </c>
      <c r="AN14" s="58">
        <v>76</v>
      </c>
      <c r="AO14" s="45">
        <v>1</v>
      </c>
      <c r="AP14" s="57">
        <v>22</v>
      </c>
      <c r="AQ14" s="72">
        <v>72</v>
      </c>
      <c r="AR14" s="73"/>
      <c r="AS14" s="37">
        <f t="shared" si="0"/>
        <v>283.5</v>
      </c>
      <c r="AT14" s="38">
        <f t="shared" si="0"/>
        <v>999</v>
      </c>
      <c r="AU14" s="38">
        <f t="shared" si="0"/>
        <v>3</v>
      </c>
      <c r="AV14" s="18" t="s">
        <v>12</v>
      </c>
    </row>
    <row r="15" spans="1:48">
      <c r="A15" s="13">
        <v>11</v>
      </c>
      <c r="B15" s="241" t="s">
        <v>36</v>
      </c>
      <c r="C15" s="241" t="s">
        <v>57</v>
      </c>
      <c r="D15" s="74" t="s">
        <v>58</v>
      </c>
      <c r="E15" s="80" t="s">
        <v>81</v>
      </c>
      <c r="F15" s="79">
        <v>235093</v>
      </c>
      <c r="G15" s="56" t="s">
        <v>59</v>
      </c>
      <c r="H15" s="171"/>
      <c r="I15" s="19">
        <v>24</v>
      </c>
      <c r="J15" s="76"/>
      <c r="K15" s="77"/>
      <c r="L15" s="81">
        <v>22</v>
      </c>
      <c r="M15" s="72">
        <v>47</v>
      </c>
      <c r="N15" s="73"/>
      <c r="O15" s="25">
        <v>22</v>
      </c>
      <c r="P15" s="19">
        <v>16</v>
      </c>
      <c r="Q15" s="60"/>
      <c r="R15" s="51">
        <v>18</v>
      </c>
      <c r="S15" s="52">
        <v>1</v>
      </c>
      <c r="T15" s="53"/>
      <c r="U15" s="66">
        <v>24</v>
      </c>
      <c r="V15" s="67">
        <v>44</v>
      </c>
      <c r="W15" s="68"/>
      <c r="X15" s="69">
        <v>24</v>
      </c>
      <c r="Y15" s="55">
        <v>70</v>
      </c>
      <c r="Z15" s="70"/>
      <c r="AA15" s="69">
        <v>26</v>
      </c>
      <c r="AB15" s="71">
        <v>101</v>
      </c>
      <c r="AC15" s="70"/>
      <c r="AD15" s="69">
        <v>25</v>
      </c>
      <c r="AE15" s="71">
        <v>88</v>
      </c>
      <c r="AF15" s="70"/>
      <c r="AG15" s="57">
        <v>26</v>
      </c>
      <c r="AH15" s="58">
        <v>106</v>
      </c>
      <c r="AI15" s="45">
        <v>2</v>
      </c>
      <c r="AJ15" s="57">
        <v>26</v>
      </c>
      <c r="AK15" s="58">
        <v>104</v>
      </c>
      <c r="AL15" s="45"/>
      <c r="AM15" s="57">
        <v>25</v>
      </c>
      <c r="AN15" s="58">
        <v>92</v>
      </c>
      <c r="AO15" s="45">
        <v>1</v>
      </c>
      <c r="AP15" s="57">
        <v>20</v>
      </c>
      <c r="AQ15" s="72">
        <v>16</v>
      </c>
      <c r="AR15" s="73"/>
      <c r="AS15" s="37">
        <f t="shared" si="0"/>
        <v>282</v>
      </c>
      <c r="AT15" s="38">
        <f t="shared" si="0"/>
        <v>685</v>
      </c>
      <c r="AU15" s="38">
        <f t="shared" si="0"/>
        <v>3</v>
      </c>
      <c r="AV15" s="56" t="s">
        <v>251</v>
      </c>
    </row>
    <row r="16" spans="1:48">
      <c r="A16" s="13">
        <v>12</v>
      </c>
      <c r="B16" s="241" t="s">
        <v>36</v>
      </c>
      <c r="C16" s="241" t="s">
        <v>60</v>
      </c>
      <c r="D16" s="74" t="s">
        <v>61</v>
      </c>
      <c r="E16" s="65" t="s">
        <v>219</v>
      </c>
      <c r="F16" s="79">
        <v>241571</v>
      </c>
      <c r="G16" s="85" t="s">
        <v>62</v>
      </c>
      <c r="H16" s="172"/>
      <c r="I16" s="19">
        <v>23</v>
      </c>
      <c r="J16" s="76">
        <v>79</v>
      </c>
      <c r="K16" s="77"/>
      <c r="L16" s="81">
        <v>24</v>
      </c>
      <c r="M16" s="72">
        <v>56</v>
      </c>
      <c r="N16" s="73"/>
      <c r="O16" s="25">
        <v>25</v>
      </c>
      <c r="P16" s="76">
        <v>8</v>
      </c>
      <c r="Q16" s="77"/>
      <c r="R16" s="51">
        <v>10</v>
      </c>
      <c r="S16" s="52"/>
      <c r="T16" s="53"/>
      <c r="U16" s="66">
        <v>25</v>
      </c>
      <c r="V16" s="67">
        <v>9.5</v>
      </c>
      <c r="W16" s="68"/>
      <c r="X16" s="69">
        <v>22</v>
      </c>
      <c r="Y16" s="55">
        <v>92</v>
      </c>
      <c r="Z16" s="70"/>
      <c r="AA16" s="69">
        <v>26</v>
      </c>
      <c r="AB16" s="71">
        <v>136</v>
      </c>
      <c r="AC16" s="70"/>
      <c r="AD16" s="69">
        <v>25</v>
      </c>
      <c r="AE16" s="71">
        <v>132</v>
      </c>
      <c r="AF16" s="70">
        <v>1</v>
      </c>
      <c r="AG16" s="57">
        <v>26</v>
      </c>
      <c r="AH16" s="58">
        <v>202</v>
      </c>
      <c r="AI16" s="45"/>
      <c r="AJ16" s="57">
        <v>26</v>
      </c>
      <c r="AK16" s="58">
        <v>203</v>
      </c>
      <c r="AL16" s="45"/>
      <c r="AM16" s="57">
        <v>24</v>
      </c>
      <c r="AN16" s="58">
        <v>67</v>
      </c>
      <c r="AO16" s="45"/>
      <c r="AP16" s="57">
        <v>22</v>
      </c>
      <c r="AQ16" s="35">
        <v>23</v>
      </c>
      <c r="AR16" s="36"/>
      <c r="AS16" s="37">
        <f t="shared" si="0"/>
        <v>278</v>
      </c>
      <c r="AT16" s="38">
        <f t="shared" si="0"/>
        <v>1007.5</v>
      </c>
      <c r="AU16" s="38">
        <f t="shared" si="0"/>
        <v>1</v>
      </c>
      <c r="AV16" s="18" t="s">
        <v>12</v>
      </c>
    </row>
    <row r="17" spans="1:48">
      <c r="A17" s="13">
        <v>13</v>
      </c>
      <c r="B17" s="241" t="s">
        <v>36</v>
      </c>
      <c r="C17" s="241" t="s">
        <v>63</v>
      </c>
      <c r="D17" s="74" t="s">
        <v>64</v>
      </c>
      <c r="E17" s="75" t="s">
        <v>220</v>
      </c>
      <c r="F17" s="86">
        <v>243257</v>
      </c>
      <c r="G17" s="56" t="s">
        <v>40</v>
      </c>
      <c r="H17" s="173"/>
      <c r="I17" s="25">
        <v>22.5</v>
      </c>
      <c r="J17" s="76"/>
      <c r="K17" s="77"/>
      <c r="L17" s="81">
        <v>22</v>
      </c>
      <c r="M17" s="72">
        <v>44</v>
      </c>
      <c r="N17" s="73"/>
      <c r="O17" s="25">
        <v>25</v>
      </c>
      <c r="P17" s="76">
        <v>5</v>
      </c>
      <c r="Q17" s="77"/>
      <c r="R17" s="51">
        <v>22</v>
      </c>
      <c r="S17" s="52">
        <v>1</v>
      </c>
      <c r="T17" s="53"/>
      <c r="U17" s="66">
        <v>23.5</v>
      </c>
      <c r="V17" s="67">
        <v>4</v>
      </c>
      <c r="W17" s="68"/>
      <c r="X17" s="69">
        <v>18.5</v>
      </c>
      <c r="Y17" s="55">
        <v>60</v>
      </c>
      <c r="Z17" s="70"/>
      <c r="AA17" s="69">
        <v>25</v>
      </c>
      <c r="AB17" s="71">
        <v>88</v>
      </c>
      <c r="AC17" s="70"/>
      <c r="AD17" s="69">
        <v>23</v>
      </c>
      <c r="AE17" s="71">
        <v>56</v>
      </c>
      <c r="AF17" s="70"/>
      <c r="AG17" s="57">
        <v>26</v>
      </c>
      <c r="AH17" s="58">
        <v>90</v>
      </c>
      <c r="AI17" s="45"/>
      <c r="AJ17" s="57">
        <v>26</v>
      </c>
      <c r="AK17" s="58">
        <v>95</v>
      </c>
      <c r="AL17" s="45">
        <v>2</v>
      </c>
      <c r="AM17" s="57">
        <v>21.5</v>
      </c>
      <c r="AN17" s="58">
        <v>52</v>
      </c>
      <c r="AO17" s="45"/>
      <c r="AP17" s="57">
        <v>19</v>
      </c>
      <c r="AQ17" s="35">
        <v>4</v>
      </c>
      <c r="AR17" s="45"/>
      <c r="AS17" s="37">
        <f t="shared" si="0"/>
        <v>274</v>
      </c>
      <c r="AT17" s="38">
        <f t="shared" si="0"/>
        <v>499</v>
      </c>
      <c r="AU17" s="38">
        <f t="shared" si="0"/>
        <v>2</v>
      </c>
      <c r="AV17" s="18" t="s">
        <v>12</v>
      </c>
    </row>
    <row r="18" spans="1:48">
      <c r="A18" s="13">
        <v>14</v>
      </c>
      <c r="B18" s="241" t="s">
        <v>36</v>
      </c>
      <c r="C18" s="241" t="s">
        <v>65</v>
      </c>
      <c r="D18" s="74" t="s">
        <v>66</v>
      </c>
      <c r="E18" s="75" t="s">
        <v>39</v>
      </c>
      <c r="F18" s="86">
        <v>240598</v>
      </c>
      <c r="G18" s="32" t="s">
        <v>67</v>
      </c>
      <c r="H18" s="204"/>
      <c r="I18" s="19">
        <v>24</v>
      </c>
      <c r="J18" s="19"/>
      <c r="K18" s="60"/>
      <c r="L18" s="57">
        <v>23</v>
      </c>
      <c r="M18" s="58"/>
      <c r="N18" s="45"/>
      <c r="O18" s="25">
        <v>26</v>
      </c>
      <c r="P18" s="19"/>
      <c r="Q18" s="60"/>
      <c r="R18" s="51">
        <v>21</v>
      </c>
      <c r="S18" s="52"/>
      <c r="T18" s="53"/>
      <c r="U18" s="66">
        <v>24.5</v>
      </c>
      <c r="V18" s="67"/>
      <c r="W18" s="68"/>
      <c r="X18" s="69">
        <v>17</v>
      </c>
      <c r="Y18" s="55"/>
      <c r="Z18" s="70"/>
      <c r="AA18" s="69">
        <v>24</v>
      </c>
      <c r="AB18" s="71"/>
      <c r="AC18" s="70"/>
      <c r="AD18" s="69">
        <v>24</v>
      </c>
      <c r="AE18" s="71"/>
      <c r="AF18" s="70"/>
      <c r="AG18" s="57">
        <v>24.5</v>
      </c>
      <c r="AH18" s="58"/>
      <c r="AI18" s="45"/>
      <c r="AJ18" s="57">
        <v>25</v>
      </c>
      <c r="AK18" s="58"/>
      <c r="AL18" s="45"/>
      <c r="AM18" s="57">
        <v>21.5</v>
      </c>
      <c r="AN18" s="58"/>
      <c r="AO18" s="45"/>
      <c r="AP18" s="57">
        <v>21</v>
      </c>
      <c r="AQ18" s="72"/>
      <c r="AR18" s="73"/>
      <c r="AS18" s="37">
        <f t="shared" si="0"/>
        <v>275.5</v>
      </c>
      <c r="AT18" s="38">
        <f t="shared" si="0"/>
        <v>0</v>
      </c>
      <c r="AU18" s="38">
        <f t="shared" si="0"/>
        <v>0</v>
      </c>
      <c r="AV18" s="18" t="s">
        <v>12</v>
      </c>
    </row>
    <row r="19" spans="1:48">
      <c r="A19" s="13">
        <v>15</v>
      </c>
      <c r="B19" s="241" t="s">
        <v>36</v>
      </c>
      <c r="C19" s="241" t="s">
        <v>68</v>
      </c>
      <c r="D19" s="74" t="s">
        <v>69</v>
      </c>
      <c r="E19" s="65" t="s">
        <v>218</v>
      </c>
      <c r="F19" s="86">
        <v>243651</v>
      </c>
      <c r="G19" s="56" t="s">
        <v>46</v>
      </c>
      <c r="H19" s="204"/>
      <c r="I19" s="19">
        <v>24</v>
      </c>
      <c r="J19" s="76">
        <v>40</v>
      </c>
      <c r="K19" s="77"/>
      <c r="L19" s="81">
        <v>22</v>
      </c>
      <c r="M19" s="72">
        <v>48</v>
      </c>
      <c r="N19" s="73"/>
      <c r="O19" s="25">
        <v>25</v>
      </c>
      <c r="P19" s="19">
        <v>4</v>
      </c>
      <c r="Q19" s="60"/>
      <c r="R19" s="51">
        <v>22</v>
      </c>
      <c r="S19" s="52">
        <v>36</v>
      </c>
      <c r="T19" s="53"/>
      <c r="U19" s="66">
        <v>25.5</v>
      </c>
      <c r="V19" s="67">
        <v>37</v>
      </c>
      <c r="W19" s="68"/>
      <c r="X19" s="87">
        <v>19</v>
      </c>
      <c r="Y19" s="55">
        <v>24</v>
      </c>
      <c r="Z19" s="88"/>
      <c r="AA19" s="87">
        <v>24</v>
      </c>
      <c r="AB19" s="89">
        <v>52</v>
      </c>
      <c r="AC19" s="88"/>
      <c r="AD19" s="87">
        <v>23</v>
      </c>
      <c r="AE19" s="89">
        <v>60</v>
      </c>
      <c r="AF19" s="88"/>
      <c r="AG19" s="90">
        <v>26</v>
      </c>
      <c r="AH19" s="35">
        <v>82</v>
      </c>
      <c r="AI19" s="36">
        <v>2</v>
      </c>
      <c r="AJ19" s="90">
        <v>26</v>
      </c>
      <c r="AK19" s="35">
        <v>91</v>
      </c>
      <c r="AL19" s="36">
        <v>3</v>
      </c>
      <c r="AM19" s="90">
        <v>18.5</v>
      </c>
      <c r="AN19" s="35">
        <v>68</v>
      </c>
      <c r="AO19" s="36">
        <v>1</v>
      </c>
      <c r="AP19" s="90">
        <v>22</v>
      </c>
      <c r="AQ19" s="72">
        <v>56</v>
      </c>
      <c r="AR19" s="73"/>
      <c r="AS19" s="37">
        <f t="shared" si="0"/>
        <v>277</v>
      </c>
      <c r="AT19" s="38">
        <f t="shared" si="0"/>
        <v>598</v>
      </c>
      <c r="AU19" s="38">
        <f t="shared" si="0"/>
        <v>6</v>
      </c>
      <c r="AV19" s="56" t="s">
        <v>251</v>
      </c>
    </row>
    <row r="20" spans="1:48">
      <c r="A20" s="13">
        <v>16</v>
      </c>
      <c r="B20" s="241" t="s">
        <v>36</v>
      </c>
      <c r="C20" s="241" t="s">
        <v>70</v>
      </c>
      <c r="D20" s="74" t="s">
        <v>71</v>
      </c>
      <c r="E20" s="91">
        <v>503</v>
      </c>
      <c r="F20" s="41">
        <v>234856</v>
      </c>
      <c r="G20" s="56" t="s">
        <v>59</v>
      </c>
      <c r="H20" s="204"/>
      <c r="I20" s="19">
        <v>21.5</v>
      </c>
      <c r="J20" s="76">
        <v>1</v>
      </c>
      <c r="K20" s="77"/>
      <c r="L20" s="81">
        <v>23</v>
      </c>
      <c r="M20" s="72">
        <v>61</v>
      </c>
      <c r="N20" s="73"/>
      <c r="O20" s="25">
        <v>26</v>
      </c>
      <c r="P20" s="19">
        <v>8</v>
      </c>
      <c r="Q20" s="60"/>
      <c r="R20" s="51">
        <v>25</v>
      </c>
      <c r="S20" s="52"/>
      <c r="T20" s="53"/>
      <c r="U20" s="66">
        <v>26</v>
      </c>
      <c r="V20" s="67"/>
      <c r="W20" s="68"/>
      <c r="X20" s="18">
        <v>21</v>
      </c>
      <c r="Y20" s="55">
        <v>2</v>
      </c>
      <c r="Z20" s="92"/>
      <c r="AA20" s="18">
        <v>21</v>
      </c>
      <c r="AB20" s="93">
        <v>1</v>
      </c>
      <c r="AC20" s="92"/>
      <c r="AD20" s="18">
        <v>24</v>
      </c>
      <c r="AE20" s="93">
        <v>72</v>
      </c>
      <c r="AF20" s="92"/>
      <c r="AG20" s="90">
        <v>24</v>
      </c>
      <c r="AH20" s="35">
        <v>95</v>
      </c>
      <c r="AI20" s="36">
        <v>2</v>
      </c>
      <c r="AJ20" s="90">
        <v>24</v>
      </c>
      <c r="AK20" s="35">
        <v>79</v>
      </c>
      <c r="AL20" s="36"/>
      <c r="AM20" s="90">
        <v>24</v>
      </c>
      <c r="AN20" s="35">
        <v>73</v>
      </c>
      <c r="AO20" s="36">
        <v>1</v>
      </c>
      <c r="AP20" s="90">
        <v>24</v>
      </c>
      <c r="AQ20" s="72">
        <v>8</v>
      </c>
      <c r="AR20" s="73"/>
      <c r="AS20" s="37">
        <f t="shared" si="0"/>
        <v>283.5</v>
      </c>
      <c r="AT20" s="38">
        <f t="shared" si="0"/>
        <v>400</v>
      </c>
      <c r="AU20" s="38">
        <f t="shared" si="0"/>
        <v>3</v>
      </c>
      <c r="AV20" s="56" t="s">
        <v>251</v>
      </c>
    </row>
    <row r="21" spans="1:48">
      <c r="A21" s="13">
        <v>17</v>
      </c>
      <c r="B21" s="241" t="s">
        <v>36</v>
      </c>
      <c r="C21" s="241" t="s">
        <v>72</v>
      </c>
      <c r="D21" s="64" t="s">
        <v>73</v>
      </c>
      <c r="E21" s="94">
        <v>348</v>
      </c>
      <c r="F21" s="59">
        <v>237008</v>
      </c>
      <c r="G21" s="56" t="s">
        <v>67</v>
      </c>
      <c r="H21" s="204"/>
      <c r="I21" s="19">
        <v>19</v>
      </c>
      <c r="J21" s="19"/>
      <c r="K21" s="60"/>
      <c r="L21" s="57">
        <v>16</v>
      </c>
      <c r="M21" s="58"/>
      <c r="N21" s="45"/>
      <c r="O21" s="25">
        <v>20</v>
      </c>
      <c r="P21" s="76"/>
      <c r="Q21" s="77"/>
      <c r="R21" s="51">
        <v>18</v>
      </c>
      <c r="S21" s="52"/>
      <c r="T21" s="53"/>
      <c r="U21" s="66">
        <v>25</v>
      </c>
      <c r="V21" s="67"/>
      <c r="W21" s="68"/>
      <c r="X21" s="54">
        <v>20</v>
      </c>
      <c r="Y21" s="55"/>
      <c r="Z21" s="56"/>
      <c r="AA21" s="54">
        <v>23</v>
      </c>
      <c r="AB21" s="55"/>
      <c r="AC21" s="56"/>
      <c r="AD21" s="54">
        <v>20</v>
      </c>
      <c r="AE21" s="55"/>
      <c r="AF21" s="56"/>
      <c r="AG21" s="57">
        <v>26</v>
      </c>
      <c r="AH21" s="58">
        <v>80</v>
      </c>
      <c r="AI21" s="45"/>
      <c r="AJ21" s="57">
        <v>24</v>
      </c>
      <c r="AK21" s="58">
        <v>95</v>
      </c>
      <c r="AL21" s="45"/>
      <c r="AM21" s="57">
        <v>25</v>
      </c>
      <c r="AN21" s="58">
        <v>100</v>
      </c>
      <c r="AO21" s="45"/>
      <c r="AP21" s="57">
        <v>18</v>
      </c>
      <c r="AQ21" s="72">
        <v>24</v>
      </c>
      <c r="AR21" s="73"/>
      <c r="AS21" s="37">
        <f t="shared" ref="AS21:AU78" si="1">SUM(I21+L21+O21+R21+U21+X21+AA21+AD21+AG21+AJ21+AM21+AP21)</f>
        <v>254</v>
      </c>
      <c r="AT21" s="38">
        <f t="shared" si="1"/>
        <v>299</v>
      </c>
      <c r="AU21" s="38">
        <f t="shared" si="1"/>
        <v>0</v>
      </c>
      <c r="AV21" s="18" t="s">
        <v>12</v>
      </c>
    </row>
    <row r="22" spans="1:48">
      <c r="A22" s="13">
        <v>18</v>
      </c>
      <c r="B22" s="241" t="s">
        <v>36</v>
      </c>
      <c r="C22" s="241" t="s">
        <v>74</v>
      </c>
      <c r="D22" s="74" t="s">
        <v>75</v>
      </c>
      <c r="E22" s="94">
        <v>388</v>
      </c>
      <c r="F22" s="79">
        <v>233710</v>
      </c>
      <c r="G22" s="56" t="s">
        <v>46</v>
      </c>
      <c r="H22" s="204"/>
      <c r="I22" s="19">
        <v>24</v>
      </c>
      <c r="J22" s="20"/>
      <c r="K22" s="60"/>
      <c r="L22" s="78">
        <v>24</v>
      </c>
      <c r="M22" s="23"/>
      <c r="N22" s="24"/>
      <c r="O22" s="25">
        <v>26</v>
      </c>
      <c r="P22" s="19"/>
      <c r="Q22" s="60"/>
      <c r="R22" s="51">
        <v>23</v>
      </c>
      <c r="S22" s="52"/>
      <c r="T22" s="53"/>
      <c r="U22" s="66">
        <v>26</v>
      </c>
      <c r="V22" s="67"/>
      <c r="W22" s="68"/>
      <c r="X22" s="54">
        <v>23</v>
      </c>
      <c r="Y22" s="55"/>
      <c r="Z22" s="56"/>
      <c r="AA22" s="54">
        <v>26</v>
      </c>
      <c r="AB22" s="55"/>
      <c r="AC22" s="56"/>
      <c r="AD22" s="54">
        <v>23.5</v>
      </c>
      <c r="AE22" s="55"/>
      <c r="AF22" s="56"/>
      <c r="AG22" s="57">
        <v>25</v>
      </c>
      <c r="AH22" s="58"/>
      <c r="AI22" s="45"/>
      <c r="AJ22" s="57">
        <v>25</v>
      </c>
      <c r="AK22" s="58"/>
      <c r="AL22" s="45"/>
      <c r="AM22" s="57">
        <v>24</v>
      </c>
      <c r="AN22" s="35"/>
      <c r="AO22" s="36"/>
      <c r="AP22" s="90">
        <v>23</v>
      </c>
      <c r="AQ22" s="72"/>
      <c r="AR22" s="73"/>
      <c r="AS22" s="37">
        <f t="shared" si="1"/>
        <v>292.5</v>
      </c>
      <c r="AT22" s="38">
        <f t="shared" si="1"/>
        <v>0</v>
      </c>
      <c r="AU22" s="38">
        <f t="shared" si="1"/>
        <v>0</v>
      </c>
      <c r="AV22" s="56" t="s">
        <v>251</v>
      </c>
    </row>
    <row r="23" spans="1:48">
      <c r="A23" s="13">
        <v>19</v>
      </c>
      <c r="B23" s="241" t="s">
        <v>36</v>
      </c>
      <c r="C23" s="241" t="s">
        <v>76</v>
      </c>
      <c r="D23" s="74" t="s">
        <v>77</v>
      </c>
      <c r="E23" s="95">
        <v>348</v>
      </c>
      <c r="F23" s="41">
        <v>238512</v>
      </c>
      <c r="G23" s="18" t="s">
        <v>46</v>
      </c>
      <c r="H23" s="171"/>
      <c r="I23" s="19">
        <v>24</v>
      </c>
      <c r="J23" s="20"/>
      <c r="K23" s="21"/>
      <c r="L23" s="78">
        <v>23</v>
      </c>
      <c r="M23" s="23">
        <v>40</v>
      </c>
      <c r="N23" s="24"/>
      <c r="O23" s="25">
        <v>25.5</v>
      </c>
      <c r="P23" s="76">
        <v>4</v>
      </c>
      <c r="Q23" s="77"/>
      <c r="R23" s="51">
        <v>21</v>
      </c>
      <c r="S23" s="52"/>
      <c r="T23" s="53"/>
      <c r="U23" s="66">
        <v>24</v>
      </c>
      <c r="V23" s="67"/>
      <c r="W23" s="68"/>
      <c r="X23" s="69">
        <v>24</v>
      </c>
      <c r="Y23" s="71"/>
      <c r="Z23" s="70"/>
      <c r="AA23" s="69">
        <v>25.5</v>
      </c>
      <c r="AB23" s="71"/>
      <c r="AC23" s="70"/>
      <c r="AD23" s="69">
        <v>25</v>
      </c>
      <c r="AE23" s="71">
        <v>72</v>
      </c>
      <c r="AF23" s="70"/>
      <c r="AG23" s="57">
        <v>26</v>
      </c>
      <c r="AH23" s="58">
        <v>102</v>
      </c>
      <c r="AI23" s="45">
        <v>1</v>
      </c>
      <c r="AJ23" s="57">
        <v>26</v>
      </c>
      <c r="AK23" s="58">
        <v>104</v>
      </c>
      <c r="AL23" s="45"/>
      <c r="AM23" s="57">
        <v>23</v>
      </c>
      <c r="AN23" s="58">
        <v>88</v>
      </c>
      <c r="AO23" s="45">
        <v>1</v>
      </c>
      <c r="AP23" s="57">
        <v>19.5</v>
      </c>
      <c r="AQ23" s="72">
        <v>4</v>
      </c>
      <c r="AR23" s="73"/>
      <c r="AS23" s="37">
        <f t="shared" si="1"/>
        <v>286.5</v>
      </c>
      <c r="AT23" s="38">
        <f t="shared" si="1"/>
        <v>414</v>
      </c>
      <c r="AU23" s="38">
        <f t="shared" si="1"/>
        <v>2</v>
      </c>
      <c r="AV23" s="56" t="s">
        <v>251</v>
      </c>
    </row>
    <row r="24" spans="1:48">
      <c r="A24" s="13">
        <v>20</v>
      </c>
      <c r="B24" s="241" t="s">
        <v>36</v>
      </c>
      <c r="C24" s="241" t="s">
        <v>78</v>
      </c>
      <c r="D24" s="74" t="s">
        <v>71</v>
      </c>
      <c r="E24" s="75" t="s">
        <v>220</v>
      </c>
      <c r="F24" s="79">
        <v>236410</v>
      </c>
      <c r="G24" s="56" t="s">
        <v>46</v>
      </c>
      <c r="H24" s="204"/>
      <c r="I24" s="19">
        <v>21</v>
      </c>
      <c r="J24" s="76"/>
      <c r="K24" s="77"/>
      <c r="L24" s="81">
        <v>21.5</v>
      </c>
      <c r="M24" s="72">
        <v>40</v>
      </c>
      <c r="N24" s="73"/>
      <c r="O24" s="25">
        <v>26</v>
      </c>
      <c r="P24" s="76">
        <v>8</v>
      </c>
      <c r="Q24" s="77"/>
      <c r="R24" s="51">
        <v>21</v>
      </c>
      <c r="S24" s="52"/>
      <c r="T24" s="53"/>
      <c r="U24" s="66">
        <v>24</v>
      </c>
      <c r="V24" s="67"/>
      <c r="W24" s="68"/>
      <c r="X24" s="69">
        <v>17</v>
      </c>
      <c r="Y24" s="71"/>
      <c r="Z24" s="70"/>
      <c r="AA24" s="69">
        <v>23</v>
      </c>
      <c r="AB24" s="71"/>
      <c r="AC24" s="70"/>
      <c r="AD24" s="69">
        <v>24</v>
      </c>
      <c r="AE24" s="71">
        <v>72</v>
      </c>
      <c r="AF24" s="70"/>
      <c r="AG24" s="57">
        <v>23</v>
      </c>
      <c r="AH24" s="58">
        <v>94</v>
      </c>
      <c r="AI24" s="45">
        <v>1</v>
      </c>
      <c r="AJ24" s="57">
        <v>25</v>
      </c>
      <c r="AK24" s="58">
        <v>95</v>
      </c>
      <c r="AL24" s="45"/>
      <c r="AM24" s="57">
        <v>23</v>
      </c>
      <c r="AN24" s="58">
        <v>92</v>
      </c>
      <c r="AO24" s="45">
        <v>1</v>
      </c>
      <c r="AP24" s="57">
        <v>22</v>
      </c>
      <c r="AQ24" s="58">
        <v>8</v>
      </c>
      <c r="AR24" s="45"/>
      <c r="AS24" s="37">
        <f t="shared" si="1"/>
        <v>270.5</v>
      </c>
      <c r="AT24" s="38">
        <f t="shared" si="1"/>
        <v>409</v>
      </c>
      <c r="AU24" s="38">
        <f t="shared" si="1"/>
        <v>2</v>
      </c>
      <c r="AV24" s="56" t="s">
        <v>251</v>
      </c>
    </row>
    <row r="25" spans="1:48">
      <c r="A25" s="13">
        <v>21</v>
      </c>
      <c r="B25" s="241" t="s">
        <v>36</v>
      </c>
      <c r="C25" s="241" t="s">
        <v>79</v>
      </c>
      <c r="D25" s="74" t="s">
        <v>80</v>
      </c>
      <c r="E25" s="75" t="s">
        <v>221</v>
      </c>
      <c r="F25" s="86">
        <v>234889</v>
      </c>
      <c r="G25" s="56" t="s">
        <v>82</v>
      </c>
      <c r="H25" s="204"/>
      <c r="I25" s="19">
        <v>24</v>
      </c>
      <c r="J25" s="19">
        <v>72</v>
      </c>
      <c r="K25" s="60"/>
      <c r="L25" s="57">
        <v>24</v>
      </c>
      <c r="M25" s="58">
        <v>80</v>
      </c>
      <c r="N25" s="45"/>
      <c r="O25" s="25">
        <v>26</v>
      </c>
      <c r="P25" s="19">
        <v>44</v>
      </c>
      <c r="Q25" s="60"/>
      <c r="R25" s="51">
        <v>23</v>
      </c>
      <c r="S25" s="52"/>
      <c r="T25" s="53"/>
      <c r="U25" s="66">
        <v>24</v>
      </c>
      <c r="V25" s="67"/>
      <c r="W25" s="68"/>
      <c r="X25" s="69">
        <v>20</v>
      </c>
      <c r="Y25" s="71">
        <v>36</v>
      </c>
      <c r="Z25" s="70"/>
      <c r="AA25" s="69">
        <v>25</v>
      </c>
      <c r="AB25" s="71">
        <v>93</v>
      </c>
      <c r="AC25" s="70">
        <v>1</v>
      </c>
      <c r="AD25" s="69">
        <v>25</v>
      </c>
      <c r="AE25" s="71">
        <v>100</v>
      </c>
      <c r="AF25" s="70">
        <v>5</v>
      </c>
      <c r="AG25" s="57">
        <v>26</v>
      </c>
      <c r="AH25" s="58">
        <v>110</v>
      </c>
      <c r="AI25" s="45">
        <v>3</v>
      </c>
      <c r="AJ25" s="57">
        <v>25.5</v>
      </c>
      <c r="AK25" s="58">
        <v>99</v>
      </c>
      <c r="AL25" s="45">
        <v>3</v>
      </c>
      <c r="AM25" s="57">
        <v>24</v>
      </c>
      <c r="AN25" s="58">
        <v>96</v>
      </c>
      <c r="AO25" s="45">
        <v>1</v>
      </c>
      <c r="AP25" s="57">
        <v>25</v>
      </c>
      <c r="AQ25" s="35">
        <v>92</v>
      </c>
      <c r="AR25" s="36"/>
      <c r="AS25" s="37">
        <f t="shared" si="1"/>
        <v>291.5</v>
      </c>
      <c r="AT25" s="38">
        <f t="shared" si="1"/>
        <v>822</v>
      </c>
      <c r="AU25" s="38">
        <f t="shared" si="1"/>
        <v>13</v>
      </c>
      <c r="AV25" s="18" t="s">
        <v>12</v>
      </c>
    </row>
    <row r="26" spans="1:48">
      <c r="A26" s="13">
        <v>22</v>
      </c>
      <c r="B26" s="241" t="s">
        <v>36</v>
      </c>
      <c r="C26" s="241" t="s">
        <v>83</v>
      </c>
      <c r="D26" s="64" t="s">
        <v>84</v>
      </c>
      <c r="E26" s="96">
        <v>358</v>
      </c>
      <c r="F26" s="41">
        <v>239930</v>
      </c>
      <c r="G26" s="56" t="s">
        <v>40</v>
      </c>
      <c r="H26" s="204"/>
      <c r="I26" s="19">
        <v>23.5</v>
      </c>
      <c r="J26" s="19">
        <v>88</v>
      </c>
      <c r="K26" s="60"/>
      <c r="L26" s="57">
        <v>24</v>
      </c>
      <c r="M26" s="58">
        <v>84</v>
      </c>
      <c r="N26" s="45"/>
      <c r="O26" s="25">
        <v>24.5</v>
      </c>
      <c r="P26" s="76">
        <v>32</v>
      </c>
      <c r="Q26" s="77"/>
      <c r="R26" s="51">
        <v>21</v>
      </c>
      <c r="S26" s="52">
        <v>72</v>
      </c>
      <c r="T26" s="53"/>
      <c r="U26" s="66">
        <v>24</v>
      </c>
      <c r="V26" s="67">
        <v>34.5</v>
      </c>
      <c r="W26" s="68"/>
      <c r="X26" s="87">
        <v>23</v>
      </c>
      <c r="Y26" s="89">
        <v>61</v>
      </c>
      <c r="Z26" s="88"/>
      <c r="AA26" s="87">
        <v>24.5</v>
      </c>
      <c r="AB26" s="89">
        <v>86</v>
      </c>
      <c r="AC26" s="88"/>
      <c r="AD26" s="87">
        <v>24</v>
      </c>
      <c r="AE26" s="89">
        <v>109</v>
      </c>
      <c r="AF26" s="88"/>
      <c r="AG26" s="90">
        <v>25.5</v>
      </c>
      <c r="AH26" s="35">
        <v>96</v>
      </c>
      <c r="AI26" s="36">
        <v>1</v>
      </c>
      <c r="AJ26" s="90">
        <v>25</v>
      </c>
      <c r="AK26" s="35"/>
      <c r="AL26" s="36"/>
      <c r="AM26" s="90">
        <v>22.5</v>
      </c>
      <c r="AN26" s="35">
        <v>68</v>
      </c>
      <c r="AO26" s="36"/>
      <c r="AP26" s="90">
        <v>23</v>
      </c>
      <c r="AQ26" s="58">
        <v>72</v>
      </c>
      <c r="AR26" s="45"/>
      <c r="AS26" s="37">
        <f t="shared" si="1"/>
        <v>284.5</v>
      </c>
      <c r="AT26" s="38">
        <f t="shared" si="1"/>
        <v>802.5</v>
      </c>
      <c r="AU26" s="38">
        <f t="shared" si="1"/>
        <v>1</v>
      </c>
      <c r="AV26" s="18" t="s">
        <v>12</v>
      </c>
    </row>
    <row r="27" spans="1:48">
      <c r="A27" s="13">
        <v>23</v>
      </c>
      <c r="B27" s="241" t="s">
        <v>36</v>
      </c>
      <c r="C27" s="241" t="s">
        <v>85</v>
      </c>
      <c r="D27" s="64" t="s">
        <v>86</v>
      </c>
      <c r="E27" s="97">
        <v>358</v>
      </c>
      <c r="F27" s="41">
        <v>240455</v>
      </c>
      <c r="G27" s="93" t="s">
        <v>40</v>
      </c>
      <c r="H27" s="171"/>
      <c r="I27" s="19">
        <v>21</v>
      </c>
      <c r="J27" s="19">
        <v>46</v>
      </c>
      <c r="K27" s="60"/>
      <c r="L27" s="57">
        <v>24</v>
      </c>
      <c r="M27" s="58">
        <v>80</v>
      </c>
      <c r="N27" s="45"/>
      <c r="O27" s="25">
        <v>26</v>
      </c>
      <c r="P27" s="76">
        <v>24</v>
      </c>
      <c r="Q27" s="77"/>
      <c r="R27" s="51">
        <v>21</v>
      </c>
      <c r="S27" s="52">
        <v>68</v>
      </c>
      <c r="T27" s="53"/>
      <c r="U27" s="66">
        <v>26</v>
      </c>
      <c r="V27" s="67">
        <v>22.5</v>
      </c>
      <c r="W27" s="68"/>
      <c r="X27" s="69">
        <v>24</v>
      </c>
      <c r="Y27" s="71">
        <v>53</v>
      </c>
      <c r="Z27" s="70"/>
      <c r="AA27" s="69">
        <v>26</v>
      </c>
      <c r="AB27" s="71">
        <v>80</v>
      </c>
      <c r="AC27" s="70"/>
      <c r="AD27" s="69">
        <v>25</v>
      </c>
      <c r="AE27" s="71">
        <v>68</v>
      </c>
      <c r="AF27" s="70"/>
      <c r="AG27" s="57">
        <v>26</v>
      </c>
      <c r="AH27" s="58">
        <v>98</v>
      </c>
      <c r="AI27" s="45">
        <v>1</v>
      </c>
      <c r="AJ27" s="57">
        <v>26</v>
      </c>
      <c r="AK27" s="58">
        <v>103</v>
      </c>
      <c r="AL27" s="45"/>
      <c r="AM27" s="57">
        <v>23</v>
      </c>
      <c r="AN27" s="58">
        <v>64</v>
      </c>
      <c r="AO27" s="45"/>
      <c r="AP27" s="57">
        <v>22.5</v>
      </c>
      <c r="AQ27" s="58">
        <v>64</v>
      </c>
      <c r="AR27" s="45"/>
      <c r="AS27" s="37">
        <f t="shared" si="1"/>
        <v>290.5</v>
      </c>
      <c r="AT27" s="38">
        <f t="shared" si="1"/>
        <v>770.5</v>
      </c>
      <c r="AU27" s="38">
        <f t="shared" si="1"/>
        <v>1</v>
      </c>
      <c r="AV27" s="18" t="s">
        <v>12</v>
      </c>
    </row>
    <row r="28" spans="1:48">
      <c r="A28" s="13">
        <v>24</v>
      </c>
      <c r="B28" s="241" t="s">
        <v>36</v>
      </c>
      <c r="C28" s="241" t="s">
        <v>87</v>
      </c>
      <c r="D28" s="64" t="s">
        <v>88</v>
      </c>
      <c r="E28" s="95">
        <v>348</v>
      </c>
      <c r="F28" s="41">
        <v>235928</v>
      </c>
      <c r="G28" s="56" t="s">
        <v>46</v>
      </c>
      <c r="H28" s="171"/>
      <c r="I28" s="19">
        <v>24</v>
      </c>
      <c r="J28" s="19"/>
      <c r="K28" s="60"/>
      <c r="L28" s="57">
        <v>21</v>
      </c>
      <c r="M28" s="58"/>
      <c r="N28" s="45"/>
      <c r="O28" s="25">
        <v>24</v>
      </c>
      <c r="P28" s="19"/>
      <c r="Q28" s="60"/>
      <c r="R28" s="51">
        <v>22.5</v>
      </c>
      <c r="S28" s="52"/>
      <c r="T28" s="53"/>
      <c r="U28" s="66">
        <v>21.5</v>
      </c>
      <c r="V28" s="67"/>
      <c r="W28" s="68"/>
      <c r="X28" s="69">
        <v>23</v>
      </c>
      <c r="Y28" s="71">
        <v>5</v>
      </c>
      <c r="Z28" s="70"/>
      <c r="AA28" s="69">
        <v>24</v>
      </c>
      <c r="AB28" s="71"/>
      <c r="AC28" s="70"/>
      <c r="AD28" s="69">
        <v>24</v>
      </c>
      <c r="AE28" s="71">
        <v>36</v>
      </c>
      <c r="AF28" s="70"/>
      <c r="AG28" s="57">
        <v>25</v>
      </c>
      <c r="AH28" s="58">
        <v>76</v>
      </c>
      <c r="AI28" s="45"/>
      <c r="AJ28" s="57">
        <v>26</v>
      </c>
      <c r="AK28" s="58">
        <v>75</v>
      </c>
      <c r="AL28" s="45"/>
      <c r="AM28" s="57">
        <v>24</v>
      </c>
      <c r="AN28" s="58">
        <v>64</v>
      </c>
      <c r="AO28" s="45">
        <v>1</v>
      </c>
      <c r="AP28" s="57">
        <v>21.5</v>
      </c>
      <c r="AQ28" s="58">
        <v>8</v>
      </c>
      <c r="AR28" s="45"/>
      <c r="AS28" s="37">
        <f t="shared" si="1"/>
        <v>280.5</v>
      </c>
      <c r="AT28" s="38">
        <f t="shared" si="1"/>
        <v>264</v>
      </c>
      <c r="AU28" s="38">
        <f t="shared" si="1"/>
        <v>1</v>
      </c>
      <c r="AV28" s="56" t="s">
        <v>251</v>
      </c>
    </row>
    <row r="29" spans="1:48">
      <c r="A29" s="13">
        <v>25</v>
      </c>
      <c r="B29" s="241" t="s">
        <v>36</v>
      </c>
      <c r="C29" s="241" t="s">
        <v>89</v>
      </c>
      <c r="D29" s="64" t="s">
        <v>64</v>
      </c>
      <c r="E29" s="95">
        <v>633</v>
      </c>
      <c r="F29" s="41">
        <v>234792</v>
      </c>
      <c r="G29" s="85" t="s">
        <v>90</v>
      </c>
      <c r="H29" s="204"/>
      <c r="I29" s="19">
        <v>25</v>
      </c>
      <c r="J29" s="19">
        <v>77</v>
      </c>
      <c r="K29" s="60"/>
      <c r="L29" s="57">
        <v>24</v>
      </c>
      <c r="M29" s="58">
        <v>40</v>
      </c>
      <c r="N29" s="45"/>
      <c r="O29" s="25">
        <v>25</v>
      </c>
      <c r="P29" s="76">
        <v>8</v>
      </c>
      <c r="Q29" s="77"/>
      <c r="R29" s="51">
        <v>22</v>
      </c>
      <c r="S29" s="52"/>
      <c r="T29" s="53"/>
      <c r="U29" s="66">
        <v>25</v>
      </c>
      <c r="V29" s="67">
        <v>4</v>
      </c>
      <c r="W29" s="68"/>
      <c r="X29" s="87">
        <v>23</v>
      </c>
      <c r="Y29" s="89">
        <v>105</v>
      </c>
      <c r="Z29" s="88"/>
      <c r="AA29" s="87">
        <v>25</v>
      </c>
      <c r="AB29" s="89">
        <v>128</v>
      </c>
      <c r="AC29" s="88"/>
      <c r="AD29" s="87">
        <v>25</v>
      </c>
      <c r="AE29" s="89">
        <v>129</v>
      </c>
      <c r="AF29" s="88">
        <v>1</v>
      </c>
      <c r="AG29" s="90">
        <v>26</v>
      </c>
      <c r="AH29" s="35">
        <v>166</v>
      </c>
      <c r="AI29" s="36">
        <v>2</v>
      </c>
      <c r="AJ29" s="90">
        <v>26</v>
      </c>
      <c r="AK29" s="35">
        <v>159</v>
      </c>
      <c r="AL29" s="36">
        <v>3</v>
      </c>
      <c r="AM29" s="90">
        <v>24</v>
      </c>
      <c r="AN29" s="35">
        <v>107</v>
      </c>
      <c r="AO29" s="36">
        <v>2</v>
      </c>
      <c r="AP29" s="90">
        <v>15</v>
      </c>
      <c r="AQ29" s="35">
        <v>15</v>
      </c>
      <c r="AR29" s="36"/>
      <c r="AS29" s="37">
        <f t="shared" si="1"/>
        <v>285</v>
      </c>
      <c r="AT29" s="38">
        <f t="shared" si="1"/>
        <v>938</v>
      </c>
      <c r="AU29" s="38">
        <f t="shared" si="1"/>
        <v>8</v>
      </c>
      <c r="AV29" s="18" t="s">
        <v>12</v>
      </c>
    </row>
    <row r="30" spans="1:48">
      <c r="A30" s="13">
        <v>26</v>
      </c>
      <c r="B30" s="241" t="s">
        <v>36</v>
      </c>
      <c r="C30" s="241" t="s">
        <v>91</v>
      </c>
      <c r="D30" s="64" t="s">
        <v>92</v>
      </c>
      <c r="E30" s="80" t="s">
        <v>222</v>
      </c>
      <c r="F30" s="41">
        <v>235765</v>
      </c>
      <c r="G30" s="56" t="s">
        <v>94</v>
      </c>
      <c r="H30" s="204"/>
      <c r="I30" s="19">
        <v>23</v>
      </c>
      <c r="J30" s="76"/>
      <c r="K30" s="77"/>
      <c r="L30" s="81">
        <v>21</v>
      </c>
      <c r="M30" s="72">
        <v>28</v>
      </c>
      <c r="N30" s="73"/>
      <c r="O30" s="25">
        <v>22</v>
      </c>
      <c r="P30" s="76"/>
      <c r="Q30" s="77"/>
      <c r="R30" s="51">
        <v>23</v>
      </c>
      <c r="S30" s="52">
        <v>4</v>
      </c>
      <c r="T30" s="53"/>
      <c r="U30" s="66">
        <v>25</v>
      </c>
      <c r="V30" s="67">
        <v>48</v>
      </c>
      <c r="W30" s="68"/>
      <c r="X30" s="54">
        <v>21</v>
      </c>
      <c r="Y30" s="55">
        <v>40</v>
      </c>
      <c r="Z30" s="56"/>
      <c r="AA30" s="54">
        <v>25</v>
      </c>
      <c r="AB30" s="55">
        <v>68</v>
      </c>
      <c r="AC30" s="56"/>
      <c r="AD30" s="54">
        <v>24</v>
      </c>
      <c r="AE30" s="55">
        <v>84</v>
      </c>
      <c r="AF30" s="56"/>
      <c r="AG30" s="57">
        <v>26</v>
      </c>
      <c r="AH30" s="58">
        <v>94</v>
      </c>
      <c r="AI30" s="45">
        <v>1</v>
      </c>
      <c r="AJ30" s="57">
        <v>23.5</v>
      </c>
      <c r="AK30" s="58">
        <v>67</v>
      </c>
      <c r="AL30" s="45"/>
      <c r="AM30" s="57">
        <v>23</v>
      </c>
      <c r="AN30" s="58">
        <v>84</v>
      </c>
      <c r="AO30" s="45">
        <v>1</v>
      </c>
      <c r="AP30" s="57">
        <v>24</v>
      </c>
      <c r="AQ30" s="58">
        <v>72</v>
      </c>
      <c r="AR30" s="45"/>
      <c r="AS30" s="37">
        <f t="shared" si="1"/>
        <v>280.5</v>
      </c>
      <c r="AT30" s="38">
        <f t="shared" si="1"/>
        <v>589</v>
      </c>
      <c r="AU30" s="38">
        <f t="shared" si="1"/>
        <v>2</v>
      </c>
      <c r="AV30" s="18" t="s">
        <v>12</v>
      </c>
    </row>
    <row r="31" spans="1:48">
      <c r="A31" s="13">
        <v>27</v>
      </c>
      <c r="B31" s="241" t="s">
        <v>36</v>
      </c>
      <c r="C31" s="241" t="s">
        <v>95</v>
      </c>
      <c r="D31" s="64" t="s">
        <v>96</v>
      </c>
      <c r="E31" s="75" t="s">
        <v>218</v>
      </c>
      <c r="F31" s="41">
        <v>238512</v>
      </c>
      <c r="G31" s="56" t="s">
        <v>49</v>
      </c>
      <c r="H31" s="171"/>
      <c r="I31" s="19">
        <v>24.5</v>
      </c>
      <c r="J31" s="19"/>
      <c r="K31" s="60"/>
      <c r="L31" s="57">
        <v>14</v>
      </c>
      <c r="M31" s="58"/>
      <c r="N31" s="45"/>
      <c r="O31" s="25">
        <v>24</v>
      </c>
      <c r="P31" s="76"/>
      <c r="Q31" s="77"/>
      <c r="R31" s="51">
        <v>23</v>
      </c>
      <c r="S31" s="52"/>
      <c r="T31" s="53"/>
      <c r="U31" s="66">
        <v>26</v>
      </c>
      <c r="V31" s="67"/>
      <c r="W31" s="68"/>
      <c r="X31" s="69">
        <v>23</v>
      </c>
      <c r="Y31" s="71"/>
      <c r="Z31" s="70"/>
      <c r="AA31" s="69">
        <v>26</v>
      </c>
      <c r="AB31" s="71">
        <v>12</v>
      </c>
      <c r="AC31" s="70"/>
      <c r="AD31" s="69">
        <v>22</v>
      </c>
      <c r="AE31" s="71"/>
      <c r="AF31" s="70"/>
      <c r="AG31" s="57">
        <v>24.5</v>
      </c>
      <c r="AH31" s="58"/>
      <c r="AI31" s="45"/>
      <c r="AJ31" s="57">
        <v>26</v>
      </c>
      <c r="AK31" s="58"/>
      <c r="AL31" s="45"/>
      <c r="AM31" s="57">
        <v>18</v>
      </c>
      <c r="AN31" s="58"/>
      <c r="AO31" s="45"/>
      <c r="AP31" s="57">
        <v>24</v>
      </c>
      <c r="AQ31" s="72"/>
      <c r="AR31" s="73"/>
      <c r="AS31" s="37">
        <f t="shared" si="1"/>
        <v>275</v>
      </c>
      <c r="AT31" s="38">
        <f t="shared" si="1"/>
        <v>12</v>
      </c>
      <c r="AU31" s="38">
        <f t="shared" si="1"/>
        <v>0</v>
      </c>
      <c r="AV31" s="18" t="s">
        <v>12</v>
      </c>
    </row>
    <row r="32" spans="1:48">
      <c r="A32" s="13">
        <v>28</v>
      </c>
      <c r="B32" s="241" t="s">
        <v>36</v>
      </c>
      <c r="C32" s="241" t="s">
        <v>97</v>
      </c>
      <c r="D32" s="64" t="s">
        <v>69</v>
      </c>
      <c r="E32" s="80" t="s">
        <v>223</v>
      </c>
      <c r="F32" s="41">
        <v>234209</v>
      </c>
      <c r="G32" s="56" t="s">
        <v>98</v>
      </c>
      <c r="H32" s="171"/>
      <c r="I32" s="19">
        <v>25</v>
      </c>
      <c r="J32" s="19">
        <v>94</v>
      </c>
      <c r="K32" s="60"/>
      <c r="L32" s="57">
        <v>22</v>
      </c>
      <c r="M32" s="58">
        <v>79</v>
      </c>
      <c r="N32" s="45"/>
      <c r="O32" s="25">
        <v>25</v>
      </c>
      <c r="P32" s="76">
        <v>92</v>
      </c>
      <c r="Q32" s="77"/>
      <c r="R32" s="51">
        <v>22</v>
      </c>
      <c r="S32" s="52">
        <v>57</v>
      </c>
      <c r="T32" s="53"/>
      <c r="U32" s="66">
        <v>22</v>
      </c>
      <c r="V32" s="67">
        <v>67</v>
      </c>
      <c r="W32" s="68"/>
      <c r="X32" s="87">
        <v>24</v>
      </c>
      <c r="Y32" s="89">
        <v>96</v>
      </c>
      <c r="Z32" s="88"/>
      <c r="AA32" s="82">
        <v>26</v>
      </c>
      <c r="AB32" s="84">
        <v>102</v>
      </c>
      <c r="AC32" s="88"/>
      <c r="AD32" s="87">
        <v>25</v>
      </c>
      <c r="AE32" s="89">
        <v>100.5</v>
      </c>
      <c r="AF32" s="88">
        <v>1</v>
      </c>
      <c r="AG32" s="90">
        <v>22</v>
      </c>
      <c r="AH32" s="35">
        <v>90</v>
      </c>
      <c r="AI32" s="36">
        <v>2</v>
      </c>
      <c r="AJ32" s="90">
        <v>26</v>
      </c>
      <c r="AK32" s="35">
        <v>96</v>
      </c>
      <c r="AL32" s="36">
        <v>3</v>
      </c>
      <c r="AM32" s="90">
        <v>24</v>
      </c>
      <c r="AN32" s="35">
        <v>88</v>
      </c>
      <c r="AO32" s="36">
        <v>1</v>
      </c>
      <c r="AP32" s="90">
        <v>23</v>
      </c>
      <c r="AQ32" s="58">
        <v>97.5</v>
      </c>
      <c r="AR32" s="45">
        <v>1</v>
      </c>
      <c r="AS32" s="37">
        <f t="shared" si="1"/>
        <v>286</v>
      </c>
      <c r="AT32" s="38">
        <f t="shared" si="1"/>
        <v>1059</v>
      </c>
      <c r="AU32" s="38">
        <f t="shared" si="1"/>
        <v>8</v>
      </c>
      <c r="AV32" s="18" t="s">
        <v>12</v>
      </c>
    </row>
    <row r="33" spans="1:48">
      <c r="A33" s="13">
        <v>29</v>
      </c>
      <c r="B33" s="241" t="s">
        <v>36</v>
      </c>
      <c r="C33" s="241" t="s">
        <v>99</v>
      </c>
      <c r="D33" s="64" t="s">
        <v>100</v>
      </c>
      <c r="E33" s="75" t="s">
        <v>220</v>
      </c>
      <c r="F33" s="41">
        <v>235737</v>
      </c>
      <c r="G33" s="18" t="s">
        <v>40</v>
      </c>
      <c r="H33" s="171"/>
      <c r="I33" s="19">
        <v>23</v>
      </c>
      <c r="J33" s="19"/>
      <c r="K33" s="60"/>
      <c r="L33" s="57">
        <v>24</v>
      </c>
      <c r="M33" s="58">
        <v>52</v>
      </c>
      <c r="N33" s="45"/>
      <c r="O33" s="25">
        <v>26</v>
      </c>
      <c r="P33" s="76">
        <v>12</v>
      </c>
      <c r="Q33" s="77"/>
      <c r="R33" s="51">
        <v>18.5</v>
      </c>
      <c r="S33" s="52"/>
      <c r="T33" s="53"/>
      <c r="U33" s="66">
        <v>25</v>
      </c>
      <c r="V33" s="67">
        <v>36</v>
      </c>
      <c r="W33" s="68"/>
      <c r="X33" s="69">
        <v>23.5</v>
      </c>
      <c r="Y33" s="71">
        <v>72</v>
      </c>
      <c r="Z33" s="70"/>
      <c r="AA33" s="87">
        <v>25</v>
      </c>
      <c r="AB33" s="89">
        <v>92</v>
      </c>
      <c r="AC33" s="70"/>
      <c r="AD33" s="69">
        <v>25</v>
      </c>
      <c r="AE33" s="71">
        <v>88</v>
      </c>
      <c r="AF33" s="70"/>
      <c r="AG33" s="57">
        <v>24.5</v>
      </c>
      <c r="AH33" s="58">
        <v>80</v>
      </c>
      <c r="AI33" s="45">
        <v>2</v>
      </c>
      <c r="AJ33" s="57">
        <v>26</v>
      </c>
      <c r="AK33" s="58">
        <v>103</v>
      </c>
      <c r="AL33" s="45"/>
      <c r="AM33" s="57">
        <v>22</v>
      </c>
      <c r="AN33" s="58">
        <v>84</v>
      </c>
      <c r="AO33" s="45">
        <v>1</v>
      </c>
      <c r="AP33" s="57">
        <v>20</v>
      </c>
      <c r="AQ33" s="35">
        <v>40</v>
      </c>
      <c r="AR33" s="36"/>
      <c r="AS33" s="37">
        <f t="shared" si="1"/>
        <v>282.5</v>
      </c>
      <c r="AT33" s="38">
        <f t="shared" si="1"/>
        <v>659</v>
      </c>
      <c r="AU33" s="38">
        <f t="shared" si="1"/>
        <v>3</v>
      </c>
      <c r="AV33" s="18" t="s">
        <v>12</v>
      </c>
    </row>
    <row r="34" spans="1:48">
      <c r="A34" s="13">
        <v>30</v>
      </c>
      <c r="B34" s="241" t="s">
        <v>36</v>
      </c>
      <c r="C34" s="241" t="s">
        <v>101</v>
      </c>
      <c r="D34" s="64" t="s">
        <v>102</v>
      </c>
      <c r="E34" s="75" t="s">
        <v>224</v>
      </c>
      <c r="F34" s="41">
        <v>234830</v>
      </c>
      <c r="G34" s="18" t="s">
        <v>59</v>
      </c>
      <c r="H34" s="204"/>
      <c r="I34" s="19">
        <v>24</v>
      </c>
      <c r="J34" s="19">
        <v>2</v>
      </c>
      <c r="K34" s="60"/>
      <c r="L34" s="57">
        <v>22</v>
      </c>
      <c r="M34" s="58">
        <v>35</v>
      </c>
      <c r="N34" s="45"/>
      <c r="O34" s="25">
        <v>20.5</v>
      </c>
      <c r="P34" s="76">
        <v>3</v>
      </c>
      <c r="Q34" s="77"/>
      <c r="R34" s="51">
        <v>25</v>
      </c>
      <c r="S34" s="52">
        <v>3</v>
      </c>
      <c r="T34" s="53"/>
      <c r="U34" s="66">
        <v>23</v>
      </c>
      <c r="V34" s="67">
        <v>5</v>
      </c>
      <c r="W34" s="68"/>
      <c r="X34" s="69">
        <v>15</v>
      </c>
      <c r="Y34" s="71">
        <v>1</v>
      </c>
      <c r="Z34" s="70"/>
      <c r="AA34" s="69">
        <v>21.5</v>
      </c>
      <c r="AB34" s="71">
        <v>12</v>
      </c>
      <c r="AC34" s="70"/>
      <c r="AD34" s="69">
        <v>25</v>
      </c>
      <c r="AE34" s="71">
        <v>76</v>
      </c>
      <c r="AF34" s="70"/>
      <c r="AG34" s="57">
        <v>22</v>
      </c>
      <c r="AH34" s="58">
        <v>86</v>
      </c>
      <c r="AI34" s="45">
        <v>1</v>
      </c>
      <c r="AJ34" s="57">
        <v>25</v>
      </c>
      <c r="AK34" s="58">
        <v>91</v>
      </c>
      <c r="AL34" s="45"/>
      <c r="AM34" s="57">
        <v>25</v>
      </c>
      <c r="AN34" s="58">
        <v>88</v>
      </c>
      <c r="AO34" s="45">
        <v>1</v>
      </c>
      <c r="AP34" s="57">
        <v>21.5</v>
      </c>
      <c r="AQ34" s="72">
        <v>32</v>
      </c>
      <c r="AR34" s="73"/>
      <c r="AS34" s="37">
        <f t="shared" si="1"/>
        <v>269.5</v>
      </c>
      <c r="AT34" s="38">
        <f t="shared" si="1"/>
        <v>434</v>
      </c>
      <c r="AU34" s="38">
        <f t="shared" si="1"/>
        <v>2</v>
      </c>
      <c r="AV34" s="56" t="s">
        <v>251</v>
      </c>
    </row>
    <row r="35" spans="1:48">
      <c r="A35" s="13">
        <v>31</v>
      </c>
      <c r="B35" s="241" t="s">
        <v>36</v>
      </c>
      <c r="C35" s="241" t="s">
        <v>101</v>
      </c>
      <c r="D35" s="64" t="s">
        <v>103</v>
      </c>
      <c r="E35" s="97">
        <v>348</v>
      </c>
      <c r="F35" s="79">
        <v>235802</v>
      </c>
      <c r="G35" s="56" t="s">
        <v>67</v>
      </c>
      <c r="H35" s="204"/>
      <c r="I35" s="19">
        <v>23</v>
      </c>
      <c r="J35" s="19"/>
      <c r="K35" s="60"/>
      <c r="L35" s="57">
        <v>21.5</v>
      </c>
      <c r="M35" s="58">
        <v>52</v>
      </c>
      <c r="N35" s="45"/>
      <c r="O35" s="25">
        <v>20</v>
      </c>
      <c r="P35" s="19">
        <v>8</v>
      </c>
      <c r="Q35" s="60"/>
      <c r="R35" s="51">
        <v>18</v>
      </c>
      <c r="S35" s="52">
        <v>12</v>
      </c>
      <c r="T35" s="53"/>
      <c r="U35" s="66">
        <v>18</v>
      </c>
      <c r="V35" s="67">
        <v>40</v>
      </c>
      <c r="W35" s="68"/>
      <c r="X35" s="87">
        <v>12</v>
      </c>
      <c r="Y35" s="89">
        <v>16</v>
      </c>
      <c r="Z35" s="88"/>
      <c r="AA35" s="69">
        <v>21</v>
      </c>
      <c r="AB35" s="71">
        <v>60</v>
      </c>
      <c r="AC35" s="88"/>
      <c r="AD35" s="87">
        <v>20.5</v>
      </c>
      <c r="AE35" s="89">
        <v>48</v>
      </c>
      <c r="AF35" s="88"/>
      <c r="AG35" s="90">
        <v>25</v>
      </c>
      <c r="AH35" s="35">
        <v>82</v>
      </c>
      <c r="AI35" s="36">
        <v>1</v>
      </c>
      <c r="AJ35" s="90">
        <v>22.5</v>
      </c>
      <c r="AK35" s="35">
        <v>59</v>
      </c>
      <c r="AL35" s="36"/>
      <c r="AM35" s="90">
        <v>21</v>
      </c>
      <c r="AN35" s="35">
        <v>40</v>
      </c>
      <c r="AO35" s="36"/>
      <c r="AP35" s="90">
        <v>21</v>
      </c>
      <c r="AQ35" s="98">
        <v>32</v>
      </c>
      <c r="AR35" s="45"/>
      <c r="AS35" s="37">
        <f t="shared" si="1"/>
        <v>243.5</v>
      </c>
      <c r="AT35" s="38">
        <f t="shared" si="1"/>
        <v>449</v>
      </c>
      <c r="AU35" s="38">
        <f t="shared" si="1"/>
        <v>1</v>
      </c>
      <c r="AV35" s="18" t="s">
        <v>12</v>
      </c>
    </row>
    <row r="36" spans="1:48">
      <c r="A36" s="13">
        <v>32</v>
      </c>
      <c r="B36" s="241" t="s">
        <v>36</v>
      </c>
      <c r="C36" s="241" t="s">
        <v>104</v>
      </c>
      <c r="D36" s="15" t="s">
        <v>105</v>
      </c>
      <c r="E36" s="95">
        <v>348</v>
      </c>
      <c r="F36" s="41">
        <v>238420</v>
      </c>
      <c r="G36" s="56" t="s">
        <v>40</v>
      </c>
      <c r="H36" s="204"/>
      <c r="I36" s="19">
        <v>20</v>
      </c>
      <c r="J36" s="19"/>
      <c r="K36" s="60"/>
      <c r="L36" s="57">
        <v>22</v>
      </c>
      <c r="M36" s="58">
        <v>2</v>
      </c>
      <c r="N36" s="45"/>
      <c r="O36" s="25">
        <v>23</v>
      </c>
      <c r="P36" s="76">
        <v>4</v>
      </c>
      <c r="Q36" s="77"/>
      <c r="R36" s="51">
        <v>21.5</v>
      </c>
      <c r="S36" s="52">
        <v>3</v>
      </c>
      <c r="T36" s="53"/>
      <c r="U36" s="66">
        <v>22.5</v>
      </c>
      <c r="V36" s="67">
        <v>5</v>
      </c>
      <c r="W36" s="68"/>
      <c r="X36" s="69">
        <v>23</v>
      </c>
      <c r="Y36" s="71">
        <v>98</v>
      </c>
      <c r="Z36" s="70"/>
      <c r="AA36" s="87">
        <v>23</v>
      </c>
      <c r="AB36" s="89">
        <v>91</v>
      </c>
      <c r="AC36" s="70"/>
      <c r="AD36" s="69">
        <v>23</v>
      </c>
      <c r="AE36" s="71">
        <v>99</v>
      </c>
      <c r="AF36" s="70"/>
      <c r="AG36" s="57">
        <v>25</v>
      </c>
      <c r="AH36" s="58">
        <v>175</v>
      </c>
      <c r="AI36" s="45"/>
      <c r="AJ36" s="57">
        <v>25</v>
      </c>
      <c r="AK36" s="58">
        <v>190</v>
      </c>
      <c r="AL36" s="45"/>
      <c r="AM36" s="57">
        <v>23</v>
      </c>
      <c r="AN36" s="58">
        <v>46</v>
      </c>
      <c r="AO36" s="45"/>
      <c r="AP36" s="57">
        <v>12</v>
      </c>
      <c r="AQ36" s="72">
        <v>1</v>
      </c>
      <c r="AR36" s="73"/>
      <c r="AS36" s="37">
        <f t="shared" si="1"/>
        <v>263</v>
      </c>
      <c r="AT36" s="38">
        <f t="shared" si="1"/>
        <v>714</v>
      </c>
      <c r="AU36" s="38">
        <f t="shared" si="1"/>
        <v>0</v>
      </c>
      <c r="AV36" s="18" t="s">
        <v>12</v>
      </c>
    </row>
    <row r="37" spans="1:48">
      <c r="A37" s="13">
        <v>33</v>
      </c>
      <c r="B37" s="241" t="s">
        <v>36</v>
      </c>
      <c r="C37" s="241" t="s">
        <v>106</v>
      </c>
      <c r="D37" s="64" t="s">
        <v>107</v>
      </c>
      <c r="E37" s="75" t="s">
        <v>225</v>
      </c>
      <c r="F37" s="41">
        <v>236534</v>
      </c>
      <c r="G37" s="56" t="s">
        <v>94</v>
      </c>
      <c r="H37" s="204"/>
      <c r="I37" s="19">
        <v>25</v>
      </c>
      <c r="J37" s="19"/>
      <c r="K37" s="60"/>
      <c r="L37" s="57">
        <v>24</v>
      </c>
      <c r="M37" s="58">
        <v>16</v>
      </c>
      <c r="N37" s="45"/>
      <c r="O37" s="25">
        <v>25.5</v>
      </c>
      <c r="P37" s="76"/>
      <c r="Q37" s="77"/>
      <c r="R37" s="51">
        <v>19.5</v>
      </c>
      <c r="S37" s="52">
        <v>8</v>
      </c>
      <c r="T37" s="53"/>
      <c r="U37" s="66">
        <v>22</v>
      </c>
      <c r="V37" s="67"/>
      <c r="W37" s="68"/>
      <c r="X37" s="69">
        <v>21</v>
      </c>
      <c r="Y37" s="71">
        <v>16</v>
      </c>
      <c r="Z37" s="70"/>
      <c r="AA37" s="69">
        <v>25</v>
      </c>
      <c r="AB37" s="71">
        <v>84</v>
      </c>
      <c r="AC37" s="70"/>
      <c r="AD37" s="69">
        <v>25</v>
      </c>
      <c r="AE37" s="71">
        <v>48</v>
      </c>
      <c r="AF37" s="70"/>
      <c r="AG37" s="57">
        <v>26</v>
      </c>
      <c r="AH37" s="58">
        <v>34</v>
      </c>
      <c r="AI37" s="45"/>
      <c r="AJ37" s="57">
        <v>25</v>
      </c>
      <c r="AK37" s="58">
        <v>31</v>
      </c>
      <c r="AL37" s="45"/>
      <c r="AM37" s="57">
        <v>19</v>
      </c>
      <c r="AN37" s="58"/>
      <c r="AO37" s="45"/>
      <c r="AP37" s="57">
        <v>24.5</v>
      </c>
      <c r="AQ37" s="35"/>
      <c r="AR37" s="36"/>
      <c r="AS37" s="37">
        <f t="shared" si="1"/>
        <v>281.5</v>
      </c>
      <c r="AT37" s="38">
        <f t="shared" si="1"/>
        <v>237</v>
      </c>
      <c r="AU37" s="38">
        <f t="shared" si="1"/>
        <v>0</v>
      </c>
      <c r="AV37" s="18" t="s">
        <v>12</v>
      </c>
    </row>
    <row r="38" spans="1:48">
      <c r="A38" s="13">
        <v>34</v>
      </c>
      <c r="B38" s="241" t="s">
        <v>36</v>
      </c>
      <c r="C38" s="241" t="s">
        <v>108</v>
      </c>
      <c r="D38" s="64" t="s">
        <v>109</v>
      </c>
      <c r="E38" s="75" t="s">
        <v>226</v>
      </c>
      <c r="F38" s="86">
        <v>240422</v>
      </c>
      <c r="G38" s="18" t="s">
        <v>46</v>
      </c>
      <c r="H38" s="171"/>
      <c r="I38" s="19">
        <v>23</v>
      </c>
      <c r="J38" s="19">
        <v>2</v>
      </c>
      <c r="K38" s="60"/>
      <c r="L38" s="57">
        <v>23</v>
      </c>
      <c r="M38" s="58">
        <v>35</v>
      </c>
      <c r="N38" s="45"/>
      <c r="O38" s="25">
        <v>23.5</v>
      </c>
      <c r="P38" s="19">
        <v>8</v>
      </c>
      <c r="Q38" s="60"/>
      <c r="R38" s="51">
        <v>22.5</v>
      </c>
      <c r="S38" s="52">
        <v>3</v>
      </c>
      <c r="T38" s="53"/>
      <c r="U38" s="66">
        <v>26</v>
      </c>
      <c r="V38" s="67">
        <v>5</v>
      </c>
      <c r="W38" s="68"/>
      <c r="X38" s="95">
        <v>23</v>
      </c>
      <c r="Y38" s="71">
        <v>7</v>
      </c>
      <c r="Z38" s="70"/>
      <c r="AA38" s="69">
        <v>25</v>
      </c>
      <c r="AB38" s="71">
        <v>25</v>
      </c>
      <c r="AC38" s="70"/>
      <c r="AD38" s="69">
        <v>25</v>
      </c>
      <c r="AE38" s="71">
        <v>68</v>
      </c>
      <c r="AF38" s="70"/>
      <c r="AG38" s="57">
        <v>26</v>
      </c>
      <c r="AH38" s="58">
        <v>106</v>
      </c>
      <c r="AI38" s="45">
        <v>1</v>
      </c>
      <c r="AJ38" s="57">
        <v>26</v>
      </c>
      <c r="AK38" s="58">
        <v>99</v>
      </c>
      <c r="AL38" s="45"/>
      <c r="AM38" s="57">
        <v>24.5</v>
      </c>
      <c r="AN38" s="58">
        <v>68</v>
      </c>
      <c r="AO38" s="45">
        <v>1</v>
      </c>
      <c r="AP38" s="57">
        <v>18.5</v>
      </c>
      <c r="AQ38" s="58">
        <v>40</v>
      </c>
      <c r="AR38" s="45"/>
      <c r="AS38" s="37">
        <f t="shared" si="1"/>
        <v>286</v>
      </c>
      <c r="AT38" s="38">
        <f t="shared" si="1"/>
        <v>466</v>
      </c>
      <c r="AU38" s="38">
        <f t="shared" si="1"/>
        <v>2</v>
      </c>
      <c r="AV38" s="56" t="s">
        <v>251</v>
      </c>
    </row>
    <row r="39" spans="1:48">
      <c r="A39" s="13">
        <v>35</v>
      </c>
      <c r="B39" s="241" t="s">
        <v>36</v>
      </c>
      <c r="C39" s="241" t="s">
        <v>110</v>
      </c>
      <c r="D39" s="74" t="s">
        <v>111</v>
      </c>
      <c r="E39" s="75" t="s">
        <v>227</v>
      </c>
      <c r="F39" s="86">
        <v>235363</v>
      </c>
      <c r="G39" s="85" t="s">
        <v>112</v>
      </c>
      <c r="H39" s="171"/>
      <c r="I39" s="19">
        <v>23</v>
      </c>
      <c r="J39" s="19">
        <v>82.5</v>
      </c>
      <c r="K39" s="60"/>
      <c r="L39" s="57">
        <v>24</v>
      </c>
      <c r="M39" s="58">
        <v>40</v>
      </c>
      <c r="N39" s="45"/>
      <c r="O39" s="25">
        <v>25</v>
      </c>
      <c r="P39" s="20"/>
      <c r="Q39" s="21"/>
      <c r="R39" s="48">
        <v>23</v>
      </c>
      <c r="S39" s="52"/>
      <c r="T39" s="53"/>
      <c r="U39" s="66">
        <v>26</v>
      </c>
      <c r="V39" s="67">
        <v>5</v>
      </c>
      <c r="W39" s="68"/>
      <c r="X39" s="87">
        <v>23</v>
      </c>
      <c r="Y39" s="71">
        <v>100</v>
      </c>
      <c r="Z39" s="88"/>
      <c r="AA39" s="87">
        <v>25</v>
      </c>
      <c r="AB39" s="89">
        <v>108</v>
      </c>
      <c r="AC39" s="88"/>
      <c r="AD39" s="87">
        <v>22.5</v>
      </c>
      <c r="AE39" s="89">
        <v>98</v>
      </c>
      <c r="AF39" s="88">
        <v>1</v>
      </c>
      <c r="AG39" s="90">
        <v>25</v>
      </c>
      <c r="AH39" s="35">
        <v>186</v>
      </c>
      <c r="AI39" s="36"/>
      <c r="AJ39" s="90">
        <v>26</v>
      </c>
      <c r="AK39" s="35">
        <v>197</v>
      </c>
      <c r="AL39" s="36"/>
      <c r="AM39" s="90">
        <v>25</v>
      </c>
      <c r="AN39" s="35">
        <v>118</v>
      </c>
      <c r="AO39" s="36">
        <v>2</v>
      </c>
      <c r="AP39" s="90">
        <v>19</v>
      </c>
      <c r="AQ39" s="35">
        <v>13</v>
      </c>
      <c r="AR39" s="36"/>
      <c r="AS39" s="37">
        <f t="shared" si="1"/>
        <v>286.5</v>
      </c>
      <c r="AT39" s="38">
        <f t="shared" si="1"/>
        <v>947.5</v>
      </c>
      <c r="AU39" s="38">
        <f t="shared" si="1"/>
        <v>3</v>
      </c>
      <c r="AV39" s="18" t="s">
        <v>12</v>
      </c>
    </row>
    <row r="40" spans="1:48">
      <c r="A40" s="13">
        <v>36</v>
      </c>
      <c r="B40" s="241" t="s">
        <v>36</v>
      </c>
      <c r="C40" s="241" t="s">
        <v>113</v>
      </c>
      <c r="D40" s="64" t="s">
        <v>114</v>
      </c>
      <c r="E40" s="99" t="s">
        <v>218</v>
      </c>
      <c r="F40" s="86">
        <v>239977</v>
      </c>
      <c r="G40" s="56" t="s">
        <v>67</v>
      </c>
      <c r="H40" s="204"/>
      <c r="I40" s="19">
        <v>25</v>
      </c>
      <c r="J40" s="19"/>
      <c r="K40" s="60"/>
      <c r="L40" s="57">
        <v>24</v>
      </c>
      <c r="M40" s="58">
        <v>48</v>
      </c>
      <c r="N40" s="45"/>
      <c r="O40" s="25">
        <v>26</v>
      </c>
      <c r="P40" s="43">
        <v>8</v>
      </c>
      <c r="Q40" s="47"/>
      <c r="R40" s="51">
        <v>21</v>
      </c>
      <c r="S40" s="52">
        <v>16</v>
      </c>
      <c r="T40" s="53"/>
      <c r="U40" s="66">
        <v>24</v>
      </c>
      <c r="V40" s="67">
        <v>36</v>
      </c>
      <c r="W40" s="68"/>
      <c r="X40" s="54">
        <v>23</v>
      </c>
      <c r="Y40" s="55">
        <v>60</v>
      </c>
      <c r="Z40" s="56"/>
      <c r="AA40" s="54">
        <v>25.5</v>
      </c>
      <c r="AB40" s="55">
        <v>52</v>
      </c>
      <c r="AC40" s="56"/>
      <c r="AD40" s="54">
        <v>24</v>
      </c>
      <c r="AE40" s="55">
        <v>52</v>
      </c>
      <c r="AF40" s="56"/>
      <c r="AG40" s="57">
        <v>25.5</v>
      </c>
      <c r="AH40" s="58">
        <v>66</v>
      </c>
      <c r="AI40" s="45"/>
      <c r="AJ40" s="57">
        <v>24</v>
      </c>
      <c r="AK40" s="58">
        <v>55</v>
      </c>
      <c r="AL40" s="45"/>
      <c r="AM40" s="57">
        <v>25</v>
      </c>
      <c r="AN40" s="58">
        <v>56</v>
      </c>
      <c r="AO40" s="45"/>
      <c r="AP40" s="57">
        <v>23</v>
      </c>
      <c r="AQ40" s="72">
        <v>16</v>
      </c>
      <c r="AR40" s="73"/>
      <c r="AS40" s="37">
        <f t="shared" si="1"/>
        <v>290</v>
      </c>
      <c r="AT40" s="38">
        <f t="shared" si="1"/>
        <v>465</v>
      </c>
      <c r="AU40" s="38">
        <f t="shared" si="1"/>
        <v>0</v>
      </c>
      <c r="AV40" s="18" t="s">
        <v>12</v>
      </c>
    </row>
    <row r="41" spans="1:48">
      <c r="A41" s="13">
        <v>37</v>
      </c>
      <c r="B41" s="241" t="s">
        <v>36</v>
      </c>
      <c r="C41" s="241" t="s">
        <v>115</v>
      </c>
      <c r="D41" s="74" t="s">
        <v>116</v>
      </c>
      <c r="E41" s="65" t="s">
        <v>216</v>
      </c>
      <c r="F41" s="86">
        <v>236619</v>
      </c>
      <c r="G41" s="85" t="s">
        <v>40</v>
      </c>
      <c r="H41" s="204"/>
      <c r="I41" s="19">
        <v>24</v>
      </c>
      <c r="J41" s="19">
        <v>60</v>
      </c>
      <c r="K41" s="60"/>
      <c r="L41" s="57">
        <v>24</v>
      </c>
      <c r="M41" s="58">
        <v>80</v>
      </c>
      <c r="N41" s="45"/>
      <c r="O41" s="25">
        <v>22</v>
      </c>
      <c r="P41" s="19">
        <v>28</v>
      </c>
      <c r="Q41" s="60"/>
      <c r="R41" s="51">
        <v>23</v>
      </c>
      <c r="S41" s="52">
        <v>76</v>
      </c>
      <c r="T41" s="53"/>
      <c r="U41" s="66">
        <v>23</v>
      </c>
      <c r="V41" s="67">
        <v>17.5</v>
      </c>
      <c r="W41" s="68"/>
      <c r="X41" s="87">
        <v>23</v>
      </c>
      <c r="Y41" s="89">
        <v>61</v>
      </c>
      <c r="Z41" s="88"/>
      <c r="AA41" s="87">
        <v>25</v>
      </c>
      <c r="AB41" s="89">
        <v>80</v>
      </c>
      <c r="AC41" s="88"/>
      <c r="AD41" s="87">
        <v>24.5</v>
      </c>
      <c r="AE41" s="89">
        <v>60</v>
      </c>
      <c r="AF41" s="88"/>
      <c r="AG41" s="90">
        <v>26</v>
      </c>
      <c r="AH41" s="35">
        <v>98</v>
      </c>
      <c r="AI41" s="36">
        <v>1</v>
      </c>
      <c r="AJ41" s="90">
        <v>23</v>
      </c>
      <c r="AK41" s="35">
        <v>83</v>
      </c>
      <c r="AL41" s="36"/>
      <c r="AM41" s="90">
        <v>21</v>
      </c>
      <c r="AN41" s="35">
        <v>80</v>
      </c>
      <c r="AO41" s="36"/>
      <c r="AP41" s="90">
        <v>22</v>
      </c>
      <c r="AQ41" s="72">
        <v>80</v>
      </c>
      <c r="AR41" s="73"/>
      <c r="AS41" s="37">
        <f t="shared" si="1"/>
        <v>280.5</v>
      </c>
      <c r="AT41" s="38">
        <f t="shared" si="1"/>
        <v>803.5</v>
      </c>
      <c r="AU41" s="38">
        <f t="shared" si="1"/>
        <v>1</v>
      </c>
      <c r="AV41" s="18" t="s">
        <v>12</v>
      </c>
    </row>
    <row r="42" spans="1:48">
      <c r="A42" s="13">
        <v>38</v>
      </c>
      <c r="B42" s="241" t="s">
        <v>30</v>
      </c>
      <c r="C42" s="241" t="s">
        <v>117</v>
      </c>
      <c r="D42" s="64" t="s">
        <v>71</v>
      </c>
      <c r="E42" s="75" t="s">
        <v>218</v>
      </c>
      <c r="F42" s="86">
        <v>236264</v>
      </c>
      <c r="G42" s="85" t="s">
        <v>49</v>
      </c>
      <c r="H42" s="171"/>
      <c r="I42" s="19">
        <v>21.5</v>
      </c>
      <c r="J42" s="19"/>
      <c r="K42" s="60"/>
      <c r="L42" s="57">
        <v>18.5</v>
      </c>
      <c r="M42" s="58"/>
      <c r="N42" s="45"/>
      <c r="O42" s="25">
        <v>18</v>
      </c>
      <c r="P42" s="43"/>
      <c r="Q42" s="47"/>
      <c r="R42" s="51">
        <v>21</v>
      </c>
      <c r="S42" s="52"/>
      <c r="T42" s="53"/>
      <c r="U42" s="66">
        <v>24</v>
      </c>
      <c r="V42" s="67"/>
      <c r="W42" s="68"/>
      <c r="X42" s="69">
        <v>19</v>
      </c>
      <c r="Y42" s="71"/>
      <c r="Z42" s="70"/>
      <c r="AA42" s="69">
        <v>15</v>
      </c>
      <c r="AB42" s="71">
        <v>12</v>
      </c>
      <c r="AC42" s="70"/>
      <c r="AD42" s="69">
        <v>24</v>
      </c>
      <c r="AE42" s="71">
        <v>24</v>
      </c>
      <c r="AF42" s="70"/>
      <c r="AG42" s="57">
        <v>22.5</v>
      </c>
      <c r="AH42" s="58">
        <v>32</v>
      </c>
      <c r="AI42" s="45"/>
      <c r="AJ42" s="57">
        <v>23.5</v>
      </c>
      <c r="AK42" s="58">
        <v>28</v>
      </c>
      <c r="AL42" s="45"/>
      <c r="AM42" s="57">
        <v>21</v>
      </c>
      <c r="AN42" s="58">
        <v>36</v>
      </c>
      <c r="AO42" s="45"/>
      <c r="AP42" s="57">
        <v>23</v>
      </c>
      <c r="AQ42" s="72"/>
      <c r="AR42" s="73"/>
      <c r="AS42" s="37">
        <f t="shared" si="1"/>
        <v>251</v>
      </c>
      <c r="AT42" s="38">
        <f t="shared" si="1"/>
        <v>132</v>
      </c>
      <c r="AU42" s="38">
        <f t="shared" si="1"/>
        <v>0</v>
      </c>
      <c r="AV42" s="18" t="s">
        <v>12</v>
      </c>
    </row>
    <row r="43" spans="1:48">
      <c r="A43" s="13">
        <v>39</v>
      </c>
      <c r="B43" s="241" t="s">
        <v>36</v>
      </c>
      <c r="C43" s="241" t="s">
        <v>118</v>
      </c>
      <c r="D43" s="64" t="s">
        <v>119</v>
      </c>
      <c r="E43" s="75" t="s">
        <v>216</v>
      </c>
      <c r="F43" s="41">
        <v>239930</v>
      </c>
      <c r="G43" s="85" t="s">
        <v>40</v>
      </c>
      <c r="H43" s="204"/>
      <c r="I43" s="19">
        <v>25</v>
      </c>
      <c r="J43" s="19">
        <v>80</v>
      </c>
      <c r="K43" s="60"/>
      <c r="L43" s="57">
        <v>21</v>
      </c>
      <c r="M43" s="58">
        <v>64</v>
      </c>
      <c r="N43" s="45"/>
      <c r="O43" s="25">
        <v>23</v>
      </c>
      <c r="P43" s="19">
        <v>12</v>
      </c>
      <c r="Q43" s="60"/>
      <c r="R43" s="51">
        <v>22.5</v>
      </c>
      <c r="S43" s="52">
        <v>52</v>
      </c>
      <c r="T43" s="53"/>
      <c r="U43" s="66">
        <v>26</v>
      </c>
      <c r="V43" s="67">
        <v>18.5</v>
      </c>
      <c r="W43" s="68"/>
      <c r="X43" s="100">
        <v>19.5</v>
      </c>
      <c r="Y43" s="55">
        <v>32</v>
      </c>
      <c r="Z43" s="56"/>
      <c r="AA43" s="54">
        <v>26</v>
      </c>
      <c r="AB43" s="55">
        <v>88</v>
      </c>
      <c r="AC43" s="56"/>
      <c r="AD43" s="54">
        <v>24</v>
      </c>
      <c r="AE43" s="55">
        <v>91</v>
      </c>
      <c r="AF43" s="56"/>
      <c r="AG43" s="57">
        <v>26</v>
      </c>
      <c r="AH43" s="58">
        <v>102</v>
      </c>
      <c r="AI43" s="45">
        <v>1</v>
      </c>
      <c r="AJ43" s="57">
        <v>26</v>
      </c>
      <c r="AK43" s="58">
        <v>87</v>
      </c>
      <c r="AL43" s="45"/>
      <c r="AM43" s="57">
        <v>20</v>
      </c>
      <c r="AN43" s="58">
        <v>56</v>
      </c>
      <c r="AO43" s="45"/>
      <c r="AP43" s="57">
        <v>23</v>
      </c>
      <c r="AQ43" s="58">
        <v>72</v>
      </c>
      <c r="AR43" s="45"/>
      <c r="AS43" s="37">
        <f t="shared" si="1"/>
        <v>282</v>
      </c>
      <c r="AT43" s="38">
        <f t="shared" si="1"/>
        <v>754.5</v>
      </c>
      <c r="AU43" s="38">
        <f t="shared" si="1"/>
        <v>1</v>
      </c>
      <c r="AV43" s="18" t="s">
        <v>12</v>
      </c>
    </row>
    <row r="44" spans="1:48">
      <c r="A44" s="13">
        <v>40</v>
      </c>
      <c r="B44" s="241" t="s">
        <v>36</v>
      </c>
      <c r="C44" s="241" t="s">
        <v>120</v>
      </c>
      <c r="D44" s="64" t="s">
        <v>121</v>
      </c>
      <c r="E44" s="75" t="s">
        <v>228</v>
      </c>
      <c r="F44" s="79">
        <v>243045</v>
      </c>
      <c r="G44" s="85" t="s">
        <v>46</v>
      </c>
      <c r="H44" s="204"/>
      <c r="I44" s="19">
        <v>22</v>
      </c>
      <c r="J44" s="19"/>
      <c r="K44" s="60"/>
      <c r="L44" s="57">
        <v>22.5</v>
      </c>
      <c r="M44" s="58">
        <v>52</v>
      </c>
      <c r="N44" s="45"/>
      <c r="O44" s="25">
        <v>24.5</v>
      </c>
      <c r="P44" s="19">
        <v>4</v>
      </c>
      <c r="Q44" s="60"/>
      <c r="R44" s="51">
        <v>21.5</v>
      </c>
      <c r="S44" s="52">
        <v>24</v>
      </c>
      <c r="T44" s="53"/>
      <c r="U44" s="66">
        <v>22</v>
      </c>
      <c r="V44" s="67">
        <v>57</v>
      </c>
      <c r="W44" s="68"/>
      <c r="X44" s="54">
        <v>24</v>
      </c>
      <c r="Y44" s="55">
        <v>41</v>
      </c>
      <c r="Z44" s="56"/>
      <c r="AA44" s="54">
        <v>25</v>
      </c>
      <c r="AB44" s="55">
        <v>88</v>
      </c>
      <c r="AC44" s="56"/>
      <c r="AD44" s="54">
        <v>24</v>
      </c>
      <c r="AE44" s="55">
        <v>76</v>
      </c>
      <c r="AF44" s="56"/>
      <c r="AG44" s="54">
        <v>25</v>
      </c>
      <c r="AH44" s="55">
        <v>90</v>
      </c>
      <c r="AI44" s="56"/>
      <c r="AJ44" s="57">
        <v>26</v>
      </c>
      <c r="AK44" s="58">
        <v>71</v>
      </c>
      <c r="AL44" s="45"/>
      <c r="AM44" s="57">
        <v>21</v>
      </c>
      <c r="AN44" s="58">
        <v>60</v>
      </c>
      <c r="AO44" s="45"/>
      <c r="AP44" s="57">
        <v>22</v>
      </c>
      <c r="AQ44" s="58">
        <v>44</v>
      </c>
      <c r="AR44" s="45"/>
      <c r="AS44" s="37">
        <f t="shared" si="1"/>
        <v>279.5</v>
      </c>
      <c r="AT44" s="38">
        <f t="shared" si="1"/>
        <v>607</v>
      </c>
      <c r="AU44" s="38">
        <f t="shared" si="1"/>
        <v>0</v>
      </c>
      <c r="AV44" s="56" t="s">
        <v>251</v>
      </c>
    </row>
    <row r="45" spans="1:48">
      <c r="A45" s="13">
        <v>41</v>
      </c>
      <c r="B45" s="241" t="s">
        <v>36</v>
      </c>
      <c r="C45" s="241" t="s">
        <v>122</v>
      </c>
      <c r="D45" s="64" t="s">
        <v>123</v>
      </c>
      <c r="E45" s="99" t="s">
        <v>216</v>
      </c>
      <c r="F45" s="41">
        <v>240455</v>
      </c>
      <c r="G45" s="56" t="s">
        <v>40</v>
      </c>
      <c r="H45" s="204"/>
      <c r="I45" s="20">
        <v>22</v>
      </c>
      <c r="J45" s="20">
        <v>71</v>
      </c>
      <c r="K45" s="21"/>
      <c r="L45" s="78">
        <v>22</v>
      </c>
      <c r="M45" s="23">
        <v>64</v>
      </c>
      <c r="N45" s="24"/>
      <c r="O45" s="44">
        <v>24.5</v>
      </c>
      <c r="P45" s="43">
        <v>12</v>
      </c>
      <c r="Q45" s="47"/>
      <c r="R45" s="48">
        <v>19</v>
      </c>
      <c r="S45" s="49">
        <v>28</v>
      </c>
      <c r="T45" s="50"/>
      <c r="U45" s="101">
        <v>24</v>
      </c>
      <c r="V45" s="102">
        <v>14.5</v>
      </c>
      <c r="W45" s="103"/>
      <c r="X45" s="82">
        <v>20.5</v>
      </c>
      <c r="Y45" s="84">
        <v>40</v>
      </c>
      <c r="Z45" s="83"/>
      <c r="AA45" s="82">
        <v>25</v>
      </c>
      <c r="AB45" s="84">
        <v>76</v>
      </c>
      <c r="AC45" s="83"/>
      <c r="AD45" s="82">
        <v>25</v>
      </c>
      <c r="AE45" s="84">
        <v>73</v>
      </c>
      <c r="AF45" s="83"/>
      <c r="AG45" s="18">
        <v>24.5</v>
      </c>
      <c r="AH45" s="93">
        <v>90</v>
      </c>
      <c r="AI45" s="92">
        <v>1</v>
      </c>
      <c r="AJ45" s="78">
        <v>25</v>
      </c>
      <c r="AK45" s="23">
        <v>71</v>
      </c>
      <c r="AL45" s="24"/>
      <c r="AM45" s="90">
        <v>23.5</v>
      </c>
      <c r="AN45" s="35">
        <v>60</v>
      </c>
      <c r="AO45" s="24"/>
      <c r="AP45" s="78">
        <v>21</v>
      </c>
      <c r="AQ45" s="35">
        <v>60</v>
      </c>
      <c r="AR45" s="36"/>
      <c r="AS45" s="37">
        <f t="shared" si="1"/>
        <v>276</v>
      </c>
      <c r="AT45" s="38">
        <f t="shared" si="1"/>
        <v>659.5</v>
      </c>
      <c r="AU45" s="38">
        <f t="shared" si="1"/>
        <v>1</v>
      </c>
      <c r="AV45" s="18" t="s">
        <v>12</v>
      </c>
    </row>
    <row r="46" spans="1:48">
      <c r="A46" s="13">
        <v>42</v>
      </c>
      <c r="B46" s="241" t="s">
        <v>36</v>
      </c>
      <c r="C46" s="241" t="s">
        <v>124</v>
      </c>
      <c r="D46" s="64" t="s">
        <v>77</v>
      </c>
      <c r="E46" s="65" t="s">
        <v>229</v>
      </c>
      <c r="F46" s="79">
        <v>241927</v>
      </c>
      <c r="G46" s="56" t="s">
        <v>40</v>
      </c>
      <c r="H46" s="171"/>
      <c r="I46" s="19">
        <v>25</v>
      </c>
      <c r="J46" s="19">
        <v>75</v>
      </c>
      <c r="K46" s="60"/>
      <c r="L46" s="57">
        <v>23</v>
      </c>
      <c r="M46" s="58">
        <v>12</v>
      </c>
      <c r="N46" s="45"/>
      <c r="O46" s="25">
        <v>21</v>
      </c>
      <c r="P46" s="76"/>
      <c r="Q46" s="77"/>
      <c r="R46" s="51">
        <v>22</v>
      </c>
      <c r="S46" s="52"/>
      <c r="T46" s="53"/>
      <c r="U46" s="66">
        <v>20</v>
      </c>
      <c r="V46" s="67">
        <v>9.5</v>
      </c>
      <c r="W46" s="68"/>
      <c r="X46" s="69">
        <v>23</v>
      </c>
      <c r="Y46" s="71">
        <v>100</v>
      </c>
      <c r="Z46" s="70"/>
      <c r="AA46" s="69">
        <v>24</v>
      </c>
      <c r="AB46" s="71">
        <v>106</v>
      </c>
      <c r="AC46" s="70"/>
      <c r="AD46" s="69">
        <v>23.5</v>
      </c>
      <c r="AE46" s="71">
        <v>30</v>
      </c>
      <c r="AF46" s="70"/>
      <c r="AG46" s="69">
        <v>21</v>
      </c>
      <c r="AH46" s="71">
        <v>154</v>
      </c>
      <c r="AI46" s="70"/>
      <c r="AJ46" s="57">
        <v>24</v>
      </c>
      <c r="AK46" s="58">
        <v>189</v>
      </c>
      <c r="AL46" s="45"/>
      <c r="AM46" s="57">
        <v>22</v>
      </c>
      <c r="AN46" s="58">
        <v>102</v>
      </c>
      <c r="AO46" s="45"/>
      <c r="AP46" s="57">
        <v>25</v>
      </c>
      <c r="AQ46" s="72">
        <v>84</v>
      </c>
      <c r="AR46" s="73"/>
      <c r="AS46" s="37">
        <f t="shared" si="1"/>
        <v>273.5</v>
      </c>
      <c r="AT46" s="38">
        <f t="shared" si="1"/>
        <v>861.5</v>
      </c>
      <c r="AU46" s="38">
        <f t="shared" si="1"/>
        <v>0</v>
      </c>
      <c r="AV46" s="18" t="s">
        <v>12</v>
      </c>
    </row>
    <row r="47" spans="1:48">
      <c r="A47" s="13">
        <v>43</v>
      </c>
      <c r="B47" s="241" t="s">
        <v>36</v>
      </c>
      <c r="C47" s="241" t="s">
        <v>37</v>
      </c>
      <c r="D47" s="74" t="s">
        <v>55</v>
      </c>
      <c r="E47" s="99" t="s">
        <v>218</v>
      </c>
      <c r="F47" s="41">
        <v>243257</v>
      </c>
      <c r="G47" s="85" t="s">
        <v>49</v>
      </c>
      <c r="H47" s="204"/>
      <c r="I47" s="19">
        <v>25</v>
      </c>
      <c r="J47" s="19">
        <v>84</v>
      </c>
      <c r="K47" s="60"/>
      <c r="L47" s="57">
        <v>23</v>
      </c>
      <c r="M47" s="58">
        <v>80</v>
      </c>
      <c r="N47" s="45"/>
      <c r="O47" s="25">
        <v>25.5</v>
      </c>
      <c r="P47" s="19">
        <v>84</v>
      </c>
      <c r="Q47" s="60"/>
      <c r="R47" s="51">
        <v>21</v>
      </c>
      <c r="S47" s="52">
        <v>72</v>
      </c>
      <c r="T47" s="53"/>
      <c r="U47" s="66">
        <v>26</v>
      </c>
      <c r="V47" s="67">
        <v>84</v>
      </c>
      <c r="W47" s="68"/>
      <c r="X47" s="54">
        <v>20</v>
      </c>
      <c r="Y47" s="55">
        <v>68</v>
      </c>
      <c r="Z47" s="56"/>
      <c r="AA47" s="54">
        <v>23</v>
      </c>
      <c r="AB47" s="55">
        <v>88</v>
      </c>
      <c r="AC47" s="56"/>
      <c r="AD47" s="54">
        <v>24</v>
      </c>
      <c r="AE47" s="55">
        <v>84</v>
      </c>
      <c r="AF47" s="56"/>
      <c r="AG47" s="69">
        <v>25</v>
      </c>
      <c r="AH47" s="71">
        <v>90</v>
      </c>
      <c r="AI47" s="70">
        <v>1</v>
      </c>
      <c r="AJ47" s="90">
        <v>24</v>
      </c>
      <c r="AK47" s="35">
        <v>87</v>
      </c>
      <c r="AL47" s="36"/>
      <c r="AM47" s="78">
        <v>24</v>
      </c>
      <c r="AN47" s="23">
        <v>84</v>
      </c>
      <c r="AO47" s="36"/>
      <c r="AP47" s="90">
        <v>23</v>
      </c>
      <c r="AQ47" s="35">
        <v>80</v>
      </c>
      <c r="AR47" s="36"/>
      <c r="AS47" s="37">
        <f t="shared" si="1"/>
        <v>283.5</v>
      </c>
      <c r="AT47" s="38">
        <f t="shared" si="1"/>
        <v>985</v>
      </c>
      <c r="AU47" s="38">
        <f t="shared" si="1"/>
        <v>1</v>
      </c>
      <c r="AV47" s="85" t="s">
        <v>250</v>
      </c>
    </row>
    <row r="48" spans="1:48">
      <c r="A48" s="13">
        <v>44</v>
      </c>
      <c r="B48" s="241" t="s">
        <v>26</v>
      </c>
      <c r="C48" s="241" t="s">
        <v>127</v>
      </c>
      <c r="D48" s="74" t="s">
        <v>61</v>
      </c>
      <c r="E48" s="65" t="s">
        <v>230</v>
      </c>
      <c r="F48" s="41">
        <v>237079</v>
      </c>
      <c r="G48" s="85" t="s">
        <v>126</v>
      </c>
      <c r="H48" s="204"/>
      <c r="I48" s="19">
        <v>24</v>
      </c>
      <c r="J48" s="19">
        <v>96</v>
      </c>
      <c r="K48" s="60"/>
      <c r="L48" s="57">
        <v>22</v>
      </c>
      <c r="M48" s="58">
        <v>80</v>
      </c>
      <c r="N48" s="45">
        <v>2</v>
      </c>
      <c r="O48" s="25">
        <v>26</v>
      </c>
      <c r="P48" s="43">
        <v>100</v>
      </c>
      <c r="Q48" s="47"/>
      <c r="R48" s="51">
        <v>21</v>
      </c>
      <c r="S48" s="52">
        <v>80</v>
      </c>
      <c r="T48" s="53"/>
      <c r="U48" s="66">
        <v>26</v>
      </c>
      <c r="V48" s="102">
        <v>100.5</v>
      </c>
      <c r="W48" s="103"/>
      <c r="X48" s="104">
        <v>19</v>
      </c>
      <c r="Y48" s="105">
        <v>76</v>
      </c>
      <c r="Z48" s="32">
        <v>1</v>
      </c>
      <c r="AA48" s="104">
        <v>26</v>
      </c>
      <c r="AB48" s="105">
        <v>104</v>
      </c>
      <c r="AC48" s="32">
        <v>3</v>
      </c>
      <c r="AD48" s="104">
        <v>24</v>
      </c>
      <c r="AE48" s="105">
        <v>96</v>
      </c>
      <c r="AF48" s="32">
        <v>6</v>
      </c>
      <c r="AG48" s="18">
        <v>26</v>
      </c>
      <c r="AH48" s="93">
        <v>104</v>
      </c>
      <c r="AI48" s="92">
        <v>3</v>
      </c>
      <c r="AJ48" s="57">
        <v>26</v>
      </c>
      <c r="AK48" s="58">
        <v>103</v>
      </c>
      <c r="AL48" s="45">
        <v>3</v>
      </c>
      <c r="AM48" s="57">
        <v>25</v>
      </c>
      <c r="AN48" s="58">
        <v>100</v>
      </c>
      <c r="AO48" s="45">
        <v>5</v>
      </c>
      <c r="AP48" s="57">
        <v>19.5</v>
      </c>
      <c r="AQ48" s="72">
        <v>72</v>
      </c>
      <c r="AR48" s="73">
        <v>2</v>
      </c>
      <c r="AS48" s="37">
        <f t="shared" si="1"/>
        <v>284.5</v>
      </c>
      <c r="AT48" s="38">
        <f t="shared" si="1"/>
        <v>1111.5</v>
      </c>
      <c r="AU48" s="38">
        <f t="shared" si="1"/>
        <v>25</v>
      </c>
      <c r="AV48" s="85" t="s">
        <v>250</v>
      </c>
    </row>
    <row r="49" spans="1:48">
      <c r="A49" s="13">
        <v>45</v>
      </c>
      <c r="B49" s="241" t="s">
        <v>30</v>
      </c>
      <c r="C49" s="241" t="s">
        <v>128</v>
      </c>
      <c r="D49" s="74" t="s">
        <v>64</v>
      </c>
      <c r="E49" s="75" t="s">
        <v>218</v>
      </c>
      <c r="F49" s="41">
        <v>237962</v>
      </c>
      <c r="G49" s="85" t="s">
        <v>49</v>
      </c>
      <c r="H49" s="204"/>
      <c r="I49" s="19">
        <v>23</v>
      </c>
      <c r="J49" s="19"/>
      <c r="K49" s="60"/>
      <c r="L49" s="57">
        <v>20.5</v>
      </c>
      <c r="M49" s="58"/>
      <c r="N49" s="45"/>
      <c r="O49" s="25">
        <v>25</v>
      </c>
      <c r="P49" s="76"/>
      <c r="Q49" s="77"/>
      <c r="R49" s="51">
        <v>22</v>
      </c>
      <c r="S49" s="52"/>
      <c r="T49" s="53"/>
      <c r="U49" s="66">
        <v>25</v>
      </c>
      <c r="V49" s="67"/>
      <c r="W49" s="68"/>
      <c r="X49" s="87">
        <v>18</v>
      </c>
      <c r="Y49" s="89"/>
      <c r="Z49" s="88"/>
      <c r="AA49" s="87">
        <v>24</v>
      </c>
      <c r="AB49" s="89"/>
      <c r="AC49" s="88"/>
      <c r="AD49" s="87">
        <v>24</v>
      </c>
      <c r="AE49" s="89"/>
      <c r="AF49" s="88"/>
      <c r="AG49" s="57">
        <v>22</v>
      </c>
      <c r="AH49" s="58"/>
      <c r="AI49" s="45"/>
      <c r="AJ49" s="90">
        <v>25</v>
      </c>
      <c r="AK49" s="35"/>
      <c r="AL49" s="36"/>
      <c r="AM49" s="90">
        <v>23</v>
      </c>
      <c r="AN49" s="35"/>
      <c r="AO49" s="36"/>
      <c r="AP49" s="90">
        <v>19</v>
      </c>
      <c r="AQ49" s="72"/>
      <c r="AR49" s="73"/>
      <c r="AS49" s="37">
        <f t="shared" si="1"/>
        <v>270.5</v>
      </c>
      <c r="AT49" s="38">
        <f t="shared" si="1"/>
        <v>0</v>
      </c>
      <c r="AU49" s="38">
        <f t="shared" si="1"/>
        <v>0</v>
      </c>
      <c r="AV49" s="85" t="s">
        <v>250</v>
      </c>
    </row>
    <row r="50" spans="1:48">
      <c r="A50" s="13">
        <v>46</v>
      </c>
      <c r="B50" s="241" t="s">
        <v>26</v>
      </c>
      <c r="C50" s="241" t="s">
        <v>129</v>
      </c>
      <c r="D50" s="64" t="s">
        <v>71</v>
      </c>
      <c r="E50" s="65" t="s">
        <v>218</v>
      </c>
      <c r="F50" s="41">
        <v>240141</v>
      </c>
      <c r="G50" s="85" t="s">
        <v>126</v>
      </c>
      <c r="H50" s="171"/>
      <c r="I50" s="19">
        <v>24</v>
      </c>
      <c r="J50" s="19"/>
      <c r="K50" s="60"/>
      <c r="L50" s="57">
        <v>24</v>
      </c>
      <c r="M50" s="58"/>
      <c r="N50" s="45"/>
      <c r="O50" s="25">
        <v>26</v>
      </c>
      <c r="P50" s="76"/>
      <c r="Q50" s="77"/>
      <c r="R50" s="51">
        <v>23</v>
      </c>
      <c r="S50" s="52"/>
      <c r="T50" s="53"/>
      <c r="U50" s="66">
        <v>26</v>
      </c>
      <c r="V50" s="67"/>
      <c r="W50" s="68"/>
      <c r="X50" s="69">
        <v>24</v>
      </c>
      <c r="Y50" s="71"/>
      <c r="Z50" s="70"/>
      <c r="AA50" s="69">
        <v>26</v>
      </c>
      <c r="AB50" s="71"/>
      <c r="AC50" s="70"/>
      <c r="AD50" s="69">
        <v>23</v>
      </c>
      <c r="AE50" s="71"/>
      <c r="AF50" s="70"/>
      <c r="AG50" s="57">
        <v>26</v>
      </c>
      <c r="AH50" s="58"/>
      <c r="AI50" s="45"/>
      <c r="AJ50" s="57">
        <v>25</v>
      </c>
      <c r="AK50" s="58"/>
      <c r="AL50" s="45"/>
      <c r="AM50" s="57">
        <v>25</v>
      </c>
      <c r="AN50" s="58"/>
      <c r="AO50" s="45"/>
      <c r="AP50" s="57">
        <v>25</v>
      </c>
      <c r="AQ50" s="72"/>
      <c r="AR50" s="73"/>
      <c r="AS50" s="37">
        <f t="shared" si="1"/>
        <v>297</v>
      </c>
      <c r="AT50" s="38">
        <f t="shared" si="1"/>
        <v>0</v>
      </c>
      <c r="AU50" s="38">
        <f t="shared" si="1"/>
        <v>0</v>
      </c>
      <c r="AV50" s="85" t="s">
        <v>250</v>
      </c>
    </row>
    <row r="51" spans="1:48">
      <c r="A51" s="13">
        <v>47</v>
      </c>
      <c r="B51" s="241" t="s">
        <v>26</v>
      </c>
      <c r="C51" s="241" t="s">
        <v>130</v>
      </c>
      <c r="D51" s="64" t="s">
        <v>61</v>
      </c>
      <c r="E51" s="65" t="s">
        <v>218</v>
      </c>
      <c r="F51" s="41">
        <v>237531</v>
      </c>
      <c r="G51" s="56" t="s">
        <v>126</v>
      </c>
      <c r="H51" s="205"/>
      <c r="I51" s="19">
        <v>24.5</v>
      </c>
      <c r="J51" s="19"/>
      <c r="K51" s="60"/>
      <c r="L51" s="57">
        <v>24</v>
      </c>
      <c r="M51" s="58"/>
      <c r="N51" s="45"/>
      <c r="O51" s="25">
        <v>25</v>
      </c>
      <c r="P51" s="76"/>
      <c r="Q51" s="77"/>
      <c r="R51" s="51">
        <v>22</v>
      </c>
      <c r="S51" s="52"/>
      <c r="T51" s="53"/>
      <c r="U51" s="66">
        <v>23</v>
      </c>
      <c r="V51" s="67">
        <v>4.5</v>
      </c>
      <c r="W51" s="68"/>
      <c r="X51" s="69">
        <v>24</v>
      </c>
      <c r="Y51" s="71"/>
      <c r="Z51" s="70"/>
      <c r="AA51" s="69">
        <v>26</v>
      </c>
      <c r="AB51" s="71"/>
      <c r="AC51" s="70"/>
      <c r="AD51" s="69">
        <v>25</v>
      </c>
      <c r="AE51" s="71"/>
      <c r="AF51" s="70"/>
      <c r="AG51" s="57">
        <v>26</v>
      </c>
      <c r="AH51" s="58"/>
      <c r="AI51" s="45"/>
      <c r="AJ51" s="57">
        <v>24.5</v>
      </c>
      <c r="AK51" s="58"/>
      <c r="AL51" s="45"/>
      <c r="AM51" s="57">
        <v>25</v>
      </c>
      <c r="AN51" s="58"/>
      <c r="AO51" s="45"/>
      <c r="AP51" s="57">
        <v>25</v>
      </c>
      <c r="AQ51" s="58"/>
      <c r="AR51" s="45"/>
      <c r="AS51" s="37">
        <f t="shared" si="1"/>
        <v>294</v>
      </c>
      <c r="AT51" s="38">
        <f t="shared" si="1"/>
        <v>4.5</v>
      </c>
      <c r="AU51" s="38">
        <f t="shared" si="1"/>
        <v>0</v>
      </c>
      <c r="AV51" s="85" t="s">
        <v>250</v>
      </c>
    </row>
    <row r="52" spans="1:48">
      <c r="A52" s="13">
        <v>48</v>
      </c>
      <c r="B52" s="241" t="s">
        <v>26</v>
      </c>
      <c r="C52" s="241" t="s">
        <v>131</v>
      </c>
      <c r="D52" s="64" t="s">
        <v>132</v>
      </c>
      <c r="E52" s="99" t="s">
        <v>218</v>
      </c>
      <c r="F52" s="86">
        <v>238873</v>
      </c>
      <c r="G52" s="85" t="s">
        <v>126</v>
      </c>
      <c r="H52" s="171"/>
      <c r="I52" s="19">
        <v>24</v>
      </c>
      <c r="J52" s="19">
        <v>96</v>
      </c>
      <c r="K52" s="60"/>
      <c r="L52" s="57">
        <v>24</v>
      </c>
      <c r="M52" s="58">
        <v>92</v>
      </c>
      <c r="N52" s="45"/>
      <c r="O52" s="25">
        <v>24</v>
      </c>
      <c r="P52" s="76">
        <v>68</v>
      </c>
      <c r="Q52" s="77"/>
      <c r="R52" s="51">
        <v>22</v>
      </c>
      <c r="S52" s="52">
        <v>80</v>
      </c>
      <c r="T52" s="53"/>
      <c r="U52" s="66">
        <v>25</v>
      </c>
      <c r="V52" s="67">
        <v>92</v>
      </c>
      <c r="W52" s="68"/>
      <c r="X52" s="82">
        <v>23</v>
      </c>
      <c r="Y52" s="84">
        <v>92</v>
      </c>
      <c r="Z52" s="83"/>
      <c r="AA52" s="82">
        <v>26</v>
      </c>
      <c r="AB52" s="84">
        <v>92</v>
      </c>
      <c r="AC52" s="83"/>
      <c r="AD52" s="82">
        <v>24.5</v>
      </c>
      <c r="AE52" s="71">
        <v>88</v>
      </c>
      <c r="AF52" s="70">
        <v>3</v>
      </c>
      <c r="AG52" s="78">
        <v>25</v>
      </c>
      <c r="AH52" s="23">
        <v>100</v>
      </c>
      <c r="AI52" s="24">
        <v>3</v>
      </c>
      <c r="AJ52" s="78">
        <v>24</v>
      </c>
      <c r="AK52" s="23">
        <v>87</v>
      </c>
      <c r="AL52" s="24"/>
      <c r="AM52" s="78">
        <v>23.5</v>
      </c>
      <c r="AN52" s="23">
        <v>84</v>
      </c>
      <c r="AO52" s="24">
        <v>5</v>
      </c>
      <c r="AP52" s="78">
        <v>25</v>
      </c>
      <c r="AQ52" s="72">
        <v>96</v>
      </c>
      <c r="AR52" s="73">
        <v>4</v>
      </c>
      <c r="AS52" s="37">
        <f t="shared" si="1"/>
        <v>290</v>
      </c>
      <c r="AT52" s="38">
        <f t="shared" si="1"/>
        <v>1067</v>
      </c>
      <c r="AU52" s="38">
        <f t="shared" si="1"/>
        <v>15</v>
      </c>
      <c r="AV52" s="85" t="s">
        <v>250</v>
      </c>
    </row>
    <row r="53" spans="1:48">
      <c r="A53" s="13">
        <v>49</v>
      </c>
      <c r="B53" s="241" t="s">
        <v>30</v>
      </c>
      <c r="C53" s="241" t="s">
        <v>133</v>
      </c>
      <c r="D53" s="107" t="s">
        <v>134</v>
      </c>
      <c r="E53" s="75" t="s">
        <v>218</v>
      </c>
      <c r="F53" s="41">
        <v>238392</v>
      </c>
      <c r="G53" s="56" t="s">
        <v>126</v>
      </c>
      <c r="H53" s="204"/>
      <c r="I53" s="19">
        <v>22</v>
      </c>
      <c r="J53" s="19">
        <v>32</v>
      </c>
      <c r="K53" s="60"/>
      <c r="L53" s="57">
        <v>21.5</v>
      </c>
      <c r="M53" s="58">
        <v>60</v>
      </c>
      <c r="N53" s="45">
        <v>1</v>
      </c>
      <c r="O53" s="25">
        <v>18</v>
      </c>
      <c r="P53" s="43">
        <v>12</v>
      </c>
      <c r="Q53" s="47"/>
      <c r="R53" s="51">
        <v>22.5</v>
      </c>
      <c r="S53" s="52">
        <v>44</v>
      </c>
      <c r="T53" s="53"/>
      <c r="U53" s="66">
        <v>24</v>
      </c>
      <c r="V53" s="67">
        <v>84</v>
      </c>
      <c r="W53" s="68"/>
      <c r="X53" s="54">
        <v>20</v>
      </c>
      <c r="Y53" s="55">
        <v>56</v>
      </c>
      <c r="Z53" s="56"/>
      <c r="AA53" s="54">
        <v>23</v>
      </c>
      <c r="AB53" s="55">
        <v>64</v>
      </c>
      <c r="AC53" s="56">
        <v>2</v>
      </c>
      <c r="AD53" s="54">
        <v>23</v>
      </c>
      <c r="AE53" s="55">
        <v>68</v>
      </c>
      <c r="AF53" s="56">
        <v>5</v>
      </c>
      <c r="AG53" s="57">
        <v>26</v>
      </c>
      <c r="AH53" s="58">
        <v>106</v>
      </c>
      <c r="AI53" s="45">
        <v>3</v>
      </c>
      <c r="AJ53" s="57">
        <v>18</v>
      </c>
      <c r="AK53" s="58">
        <v>63</v>
      </c>
      <c r="AL53" s="45">
        <v>1</v>
      </c>
      <c r="AM53" s="57">
        <v>12.5</v>
      </c>
      <c r="AN53" s="58"/>
      <c r="AO53" s="45"/>
      <c r="AP53" s="57">
        <v>25</v>
      </c>
      <c r="AQ53" s="58">
        <v>96</v>
      </c>
      <c r="AR53" s="45">
        <v>4</v>
      </c>
      <c r="AS53" s="37">
        <f t="shared" si="1"/>
        <v>255.5</v>
      </c>
      <c r="AT53" s="38">
        <f t="shared" si="1"/>
        <v>685</v>
      </c>
      <c r="AU53" s="38">
        <f t="shared" si="1"/>
        <v>16</v>
      </c>
      <c r="AV53" s="85" t="s">
        <v>250</v>
      </c>
    </row>
    <row r="54" spans="1:48">
      <c r="A54" s="13">
        <v>50</v>
      </c>
      <c r="B54" s="241" t="s">
        <v>30</v>
      </c>
      <c r="C54" s="241" t="s">
        <v>183</v>
      </c>
      <c r="D54" s="14" t="s">
        <v>184</v>
      </c>
      <c r="E54" s="65" t="s">
        <v>218</v>
      </c>
      <c r="F54" s="79">
        <v>243961</v>
      </c>
      <c r="G54" s="117" t="s">
        <v>126</v>
      </c>
      <c r="H54" s="204"/>
      <c r="I54" s="19">
        <v>25</v>
      </c>
      <c r="J54" s="19">
        <v>100</v>
      </c>
      <c r="K54" s="60">
        <v>1</v>
      </c>
      <c r="L54" s="57">
        <v>24</v>
      </c>
      <c r="M54" s="58">
        <v>96</v>
      </c>
      <c r="N54" s="45">
        <v>4</v>
      </c>
      <c r="O54" s="25">
        <v>25</v>
      </c>
      <c r="P54" s="43">
        <v>92</v>
      </c>
      <c r="Q54" s="47"/>
      <c r="R54" s="51">
        <v>22</v>
      </c>
      <c r="S54" s="52">
        <v>80</v>
      </c>
      <c r="T54" s="53"/>
      <c r="U54" s="66">
        <v>26</v>
      </c>
      <c r="V54" s="67">
        <v>100</v>
      </c>
      <c r="W54" s="68"/>
      <c r="X54" s="54">
        <v>21</v>
      </c>
      <c r="Y54" s="55">
        <v>80</v>
      </c>
      <c r="Z54" s="56">
        <v>1</v>
      </c>
      <c r="AA54" s="54">
        <v>26</v>
      </c>
      <c r="AB54" s="55">
        <v>104</v>
      </c>
      <c r="AC54" s="56">
        <v>5</v>
      </c>
      <c r="AD54" s="54">
        <v>25</v>
      </c>
      <c r="AE54" s="55">
        <v>100</v>
      </c>
      <c r="AF54" s="56">
        <v>6</v>
      </c>
      <c r="AG54" s="57">
        <v>26</v>
      </c>
      <c r="AH54" s="58">
        <v>106</v>
      </c>
      <c r="AI54" s="45">
        <v>3</v>
      </c>
      <c r="AJ54" s="57">
        <v>25</v>
      </c>
      <c r="AK54" s="58">
        <v>95</v>
      </c>
      <c r="AL54" s="45">
        <v>2</v>
      </c>
      <c r="AM54" s="57">
        <v>24</v>
      </c>
      <c r="AN54" s="58">
        <v>96</v>
      </c>
      <c r="AO54" s="45">
        <v>2</v>
      </c>
      <c r="AP54" s="57">
        <v>25</v>
      </c>
      <c r="AQ54" s="72">
        <v>96</v>
      </c>
      <c r="AR54" s="73">
        <v>4</v>
      </c>
      <c r="AS54" s="37">
        <f t="shared" si="1"/>
        <v>294</v>
      </c>
      <c r="AT54" s="38">
        <f t="shared" si="1"/>
        <v>1145</v>
      </c>
      <c r="AU54" s="38">
        <f t="shared" si="1"/>
        <v>28</v>
      </c>
      <c r="AV54" s="85" t="s">
        <v>250</v>
      </c>
    </row>
    <row r="55" spans="1:48">
      <c r="A55" s="13">
        <v>51</v>
      </c>
      <c r="B55" s="241" t="s">
        <v>26</v>
      </c>
      <c r="C55" s="241" t="s">
        <v>135</v>
      </c>
      <c r="D55" s="64" t="s">
        <v>136</v>
      </c>
      <c r="E55" s="75" t="s">
        <v>39</v>
      </c>
      <c r="F55" s="59">
        <v>236264</v>
      </c>
      <c r="G55" s="56" t="s">
        <v>126</v>
      </c>
      <c r="H55" s="204"/>
      <c r="I55" s="19">
        <v>23.5</v>
      </c>
      <c r="J55" s="19">
        <v>84</v>
      </c>
      <c r="K55" s="60">
        <v>1</v>
      </c>
      <c r="L55" s="57">
        <v>22</v>
      </c>
      <c r="M55" s="58">
        <v>76</v>
      </c>
      <c r="N55" s="45">
        <v>1</v>
      </c>
      <c r="O55" s="25">
        <v>22</v>
      </c>
      <c r="P55" s="43">
        <v>80</v>
      </c>
      <c r="Q55" s="47"/>
      <c r="R55" s="51">
        <v>22</v>
      </c>
      <c r="S55" s="52">
        <v>80</v>
      </c>
      <c r="T55" s="53"/>
      <c r="U55" s="66">
        <v>25</v>
      </c>
      <c r="V55" s="67">
        <v>92</v>
      </c>
      <c r="W55" s="68"/>
      <c r="X55" s="54">
        <v>23</v>
      </c>
      <c r="Y55" s="55">
        <v>84</v>
      </c>
      <c r="Z55" s="56">
        <v>4</v>
      </c>
      <c r="AA55" s="54">
        <v>26</v>
      </c>
      <c r="AB55" s="55">
        <v>104</v>
      </c>
      <c r="AC55" s="56">
        <v>5</v>
      </c>
      <c r="AD55" s="54">
        <v>23</v>
      </c>
      <c r="AE55" s="55">
        <v>92</v>
      </c>
      <c r="AF55" s="56">
        <v>5</v>
      </c>
      <c r="AG55" s="57">
        <v>25</v>
      </c>
      <c r="AH55" s="58">
        <v>100</v>
      </c>
      <c r="AI55" s="45">
        <v>3</v>
      </c>
      <c r="AJ55" s="57">
        <v>23</v>
      </c>
      <c r="AK55" s="58">
        <v>76</v>
      </c>
      <c r="AL55" s="45">
        <v>1</v>
      </c>
      <c r="AM55" s="57">
        <v>22</v>
      </c>
      <c r="AN55" s="58">
        <v>84</v>
      </c>
      <c r="AO55" s="45">
        <v>3</v>
      </c>
      <c r="AP55" s="57">
        <v>25</v>
      </c>
      <c r="AQ55" s="72">
        <v>96</v>
      </c>
      <c r="AR55" s="73">
        <v>4</v>
      </c>
      <c r="AS55" s="37">
        <f t="shared" si="1"/>
        <v>281.5</v>
      </c>
      <c r="AT55" s="38">
        <f t="shared" si="1"/>
        <v>1048</v>
      </c>
      <c r="AU55" s="38">
        <f t="shared" si="1"/>
        <v>27</v>
      </c>
      <c r="AV55" s="85" t="s">
        <v>250</v>
      </c>
    </row>
    <row r="56" spans="1:48">
      <c r="A56" s="13">
        <v>52</v>
      </c>
      <c r="B56" s="241" t="s">
        <v>26</v>
      </c>
      <c r="C56" s="241" t="s">
        <v>137</v>
      </c>
      <c r="D56" s="64" t="s">
        <v>123</v>
      </c>
      <c r="E56" s="99" t="s">
        <v>218</v>
      </c>
      <c r="F56" s="59">
        <v>237179</v>
      </c>
      <c r="G56" s="56" t="s">
        <v>126</v>
      </c>
      <c r="H56" s="204"/>
      <c r="I56" s="19">
        <v>21</v>
      </c>
      <c r="J56" s="19">
        <v>4</v>
      </c>
      <c r="K56" s="60"/>
      <c r="L56" s="57">
        <v>20.5</v>
      </c>
      <c r="M56" s="58"/>
      <c r="N56" s="45"/>
      <c r="O56" s="25">
        <v>18</v>
      </c>
      <c r="P56" s="19"/>
      <c r="Q56" s="60"/>
      <c r="R56" s="51">
        <v>21</v>
      </c>
      <c r="S56" s="52"/>
      <c r="T56" s="53"/>
      <c r="U56" s="66">
        <v>20</v>
      </c>
      <c r="V56" s="67">
        <v>40</v>
      </c>
      <c r="W56" s="68"/>
      <c r="X56" s="54">
        <v>19.5</v>
      </c>
      <c r="Y56" s="55"/>
      <c r="Z56" s="56"/>
      <c r="AA56" s="54">
        <v>25</v>
      </c>
      <c r="AB56" s="55">
        <v>88</v>
      </c>
      <c r="AC56" s="56"/>
      <c r="AD56" s="54">
        <v>23</v>
      </c>
      <c r="AE56" s="55">
        <v>84</v>
      </c>
      <c r="AF56" s="56">
        <v>2</v>
      </c>
      <c r="AG56" s="57">
        <v>25.5</v>
      </c>
      <c r="AH56" s="58">
        <v>88</v>
      </c>
      <c r="AI56" s="45">
        <v>3</v>
      </c>
      <c r="AJ56" s="57">
        <v>20</v>
      </c>
      <c r="AK56" s="58">
        <v>55</v>
      </c>
      <c r="AL56" s="45"/>
      <c r="AM56" s="57">
        <v>24</v>
      </c>
      <c r="AN56" s="58">
        <v>84</v>
      </c>
      <c r="AO56" s="45"/>
      <c r="AP56" s="57">
        <v>23.5</v>
      </c>
      <c r="AQ56" s="72">
        <v>84</v>
      </c>
      <c r="AR56" s="73">
        <v>4</v>
      </c>
      <c r="AS56" s="37">
        <f t="shared" si="1"/>
        <v>261</v>
      </c>
      <c r="AT56" s="38">
        <f t="shared" si="1"/>
        <v>527</v>
      </c>
      <c r="AU56" s="38">
        <f t="shared" si="1"/>
        <v>9</v>
      </c>
      <c r="AV56" s="85" t="s">
        <v>250</v>
      </c>
    </row>
    <row r="57" spans="1:48">
      <c r="A57" s="13">
        <v>53</v>
      </c>
      <c r="B57" s="241" t="s">
        <v>36</v>
      </c>
      <c r="C57" s="241" t="s">
        <v>138</v>
      </c>
      <c r="D57" s="64" t="s">
        <v>139</v>
      </c>
      <c r="E57" s="65" t="s">
        <v>231</v>
      </c>
      <c r="F57" s="79">
        <v>239357</v>
      </c>
      <c r="G57" s="56" t="s">
        <v>140</v>
      </c>
      <c r="H57" s="204"/>
      <c r="I57" s="19">
        <v>25</v>
      </c>
      <c r="J57" s="19">
        <v>84</v>
      </c>
      <c r="K57" s="60"/>
      <c r="L57" s="57">
        <v>24</v>
      </c>
      <c r="M57" s="58">
        <v>96</v>
      </c>
      <c r="N57" s="45">
        <v>3</v>
      </c>
      <c r="O57" s="25">
        <v>23</v>
      </c>
      <c r="P57" s="76">
        <v>80</v>
      </c>
      <c r="Q57" s="77"/>
      <c r="R57" s="51">
        <v>20</v>
      </c>
      <c r="S57" s="52">
        <v>72</v>
      </c>
      <c r="T57" s="53"/>
      <c r="U57" s="66">
        <v>25</v>
      </c>
      <c r="V57" s="67">
        <v>96</v>
      </c>
      <c r="W57" s="68"/>
      <c r="X57" s="18">
        <v>24</v>
      </c>
      <c r="Y57" s="93">
        <v>96</v>
      </c>
      <c r="Z57" s="92">
        <v>2</v>
      </c>
      <c r="AA57" s="18">
        <v>26</v>
      </c>
      <c r="AB57" s="93">
        <v>104</v>
      </c>
      <c r="AC57" s="92">
        <v>3</v>
      </c>
      <c r="AD57" s="18">
        <v>18</v>
      </c>
      <c r="AE57" s="93">
        <v>72</v>
      </c>
      <c r="AF57" s="92">
        <v>3</v>
      </c>
      <c r="AG57" s="90">
        <v>26</v>
      </c>
      <c r="AH57" s="35">
        <v>102</v>
      </c>
      <c r="AI57" s="36">
        <v>3</v>
      </c>
      <c r="AJ57" s="90">
        <v>17.5</v>
      </c>
      <c r="AK57" s="35">
        <v>63</v>
      </c>
      <c r="AL57" s="36">
        <v>1</v>
      </c>
      <c r="AM57" s="90">
        <v>25</v>
      </c>
      <c r="AN57" s="35">
        <v>100</v>
      </c>
      <c r="AO57" s="36">
        <v>4</v>
      </c>
      <c r="AP57" s="90">
        <v>25</v>
      </c>
      <c r="AQ57" s="58">
        <v>96</v>
      </c>
      <c r="AR57" s="45">
        <v>4</v>
      </c>
      <c r="AS57" s="37">
        <f t="shared" si="1"/>
        <v>278.5</v>
      </c>
      <c r="AT57" s="38">
        <f t="shared" si="1"/>
        <v>1061</v>
      </c>
      <c r="AU57" s="38">
        <f t="shared" si="1"/>
        <v>23</v>
      </c>
      <c r="AV57" s="85" t="s">
        <v>250</v>
      </c>
    </row>
    <row r="58" spans="1:48">
      <c r="A58" s="13">
        <v>54</v>
      </c>
      <c r="B58" s="241" t="s">
        <v>30</v>
      </c>
      <c r="C58" s="241" t="s">
        <v>185</v>
      </c>
      <c r="D58" s="14" t="s">
        <v>186</v>
      </c>
      <c r="E58" s="65" t="s">
        <v>218</v>
      </c>
      <c r="F58" s="79">
        <v>243961</v>
      </c>
      <c r="G58" s="117" t="s">
        <v>126</v>
      </c>
      <c r="H58" s="204"/>
      <c r="I58" s="19">
        <v>24.5</v>
      </c>
      <c r="J58" s="19">
        <v>88</v>
      </c>
      <c r="K58" s="60"/>
      <c r="L58" s="57">
        <v>24</v>
      </c>
      <c r="M58" s="58">
        <v>96</v>
      </c>
      <c r="N58" s="45">
        <v>4</v>
      </c>
      <c r="O58" s="25">
        <v>25</v>
      </c>
      <c r="P58" s="76">
        <v>84</v>
      </c>
      <c r="Q58" s="77"/>
      <c r="R58" s="51">
        <v>22</v>
      </c>
      <c r="S58" s="52">
        <v>76</v>
      </c>
      <c r="T58" s="53"/>
      <c r="U58" s="66">
        <v>22</v>
      </c>
      <c r="V58" s="67">
        <v>28</v>
      </c>
      <c r="W58" s="68"/>
      <c r="X58" s="18">
        <v>18</v>
      </c>
      <c r="Y58" s="93"/>
      <c r="Z58" s="92"/>
      <c r="AA58" s="18">
        <v>23.5</v>
      </c>
      <c r="AB58" s="93">
        <v>88</v>
      </c>
      <c r="AC58" s="92">
        <v>1</v>
      </c>
      <c r="AD58" s="18">
        <v>25</v>
      </c>
      <c r="AE58" s="93">
        <v>84</v>
      </c>
      <c r="AF58" s="92">
        <v>3</v>
      </c>
      <c r="AG58" s="90">
        <v>25</v>
      </c>
      <c r="AH58" s="35">
        <v>90</v>
      </c>
      <c r="AI58" s="36">
        <v>2</v>
      </c>
      <c r="AJ58" s="90">
        <v>24.5</v>
      </c>
      <c r="AK58" s="35">
        <v>87</v>
      </c>
      <c r="AL58" s="36">
        <v>1</v>
      </c>
      <c r="AM58" s="90">
        <v>22</v>
      </c>
      <c r="AN58" s="35">
        <v>84</v>
      </c>
      <c r="AO58" s="36">
        <v>2</v>
      </c>
      <c r="AP58" s="90">
        <v>24</v>
      </c>
      <c r="AQ58" s="35">
        <v>84</v>
      </c>
      <c r="AR58" s="36">
        <v>3</v>
      </c>
      <c r="AS58" s="37">
        <f t="shared" si="1"/>
        <v>279.5</v>
      </c>
      <c r="AT58" s="38">
        <f t="shared" si="1"/>
        <v>889</v>
      </c>
      <c r="AU58" s="38">
        <f t="shared" si="1"/>
        <v>16</v>
      </c>
      <c r="AV58" s="85" t="s">
        <v>250</v>
      </c>
    </row>
    <row r="59" spans="1:48">
      <c r="A59" s="13">
        <v>55</v>
      </c>
      <c r="B59" s="241" t="s">
        <v>26</v>
      </c>
      <c r="C59" s="241" t="s">
        <v>141</v>
      </c>
      <c r="D59" s="108" t="s">
        <v>142</v>
      </c>
      <c r="E59" s="75" t="s">
        <v>218</v>
      </c>
      <c r="F59" s="109">
        <v>241481</v>
      </c>
      <c r="G59" s="18" t="s">
        <v>49</v>
      </c>
      <c r="H59" s="204"/>
      <c r="I59" s="19">
        <v>25</v>
      </c>
      <c r="J59" s="19">
        <v>100</v>
      </c>
      <c r="K59" s="60"/>
      <c r="L59" s="57">
        <v>24</v>
      </c>
      <c r="M59" s="58">
        <v>92</v>
      </c>
      <c r="N59" s="45"/>
      <c r="O59" s="25">
        <v>22</v>
      </c>
      <c r="P59" s="76">
        <v>88</v>
      </c>
      <c r="Q59" s="77"/>
      <c r="R59" s="51">
        <v>20</v>
      </c>
      <c r="S59" s="52">
        <v>72</v>
      </c>
      <c r="T59" s="53"/>
      <c r="U59" s="66">
        <v>25</v>
      </c>
      <c r="V59" s="67">
        <v>92</v>
      </c>
      <c r="W59" s="68"/>
      <c r="X59" s="54">
        <v>20</v>
      </c>
      <c r="Y59" s="55">
        <v>76</v>
      </c>
      <c r="Z59" s="56"/>
      <c r="AA59" s="54">
        <v>26</v>
      </c>
      <c r="AB59" s="55">
        <v>100</v>
      </c>
      <c r="AC59" s="56"/>
      <c r="AD59" s="54">
        <v>25</v>
      </c>
      <c r="AE59" s="55">
        <v>96</v>
      </c>
      <c r="AF59" s="56"/>
      <c r="AG59" s="57">
        <v>25</v>
      </c>
      <c r="AH59" s="58">
        <v>100</v>
      </c>
      <c r="AI59" s="45"/>
      <c r="AJ59" s="57">
        <v>26</v>
      </c>
      <c r="AK59" s="58">
        <v>95</v>
      </c>
      <c r="AL59" s="45"/>
      <c r="AM59" s="57">
        <v>24.5</v>
      </c>
      <c r="AN59" s="58">
        <v>96</v>
      </c>
      <c r="AO59" s="45"/>
      <c r="AP59" s="57">
        <v>25</v>
      </c>
      <c r="AQ59" s="35">
        <v>96</v>
      </c>
      <c r="AR59" s="36"/>
      <c r="AS59" s="37">
        <f t="shared" si="1"/>
        <v>287.5</v>
      </c>
      <c r="AT59" s="38">
        <f t="shared" si="1"/>
        <v>1103</v>
      </c>
      <c r="AU59" s="38">
        <f t="shared" si="1"/>
        <v>0</v>
      </c>
      <c r="AV59" s="85" t="s">
        <v>250</v>
      </c>
    </row>
    <row r="60" spans="1:48">
      <c r="A60" s="13">
        <v>56</v>
      </c>
      <c r="B60" s="241" t="s">
        <v>30</v>
      </c>
      <c r="C60" s="241" t="s">
        <v>143</v>
      </c>
      <c r="D60" s="110" t="s">
        <v>144</v>
      </c>
      <c r="E60" s="95">
        <v>348</v>
      </c>
      <c r="F60" s="109">
        <v>241488</v>
      </c>
      <c r="G60" s="56" t="s">
        <v>145</v>
      </c>
      <c r="H60" s="204"/>
      <c r="I60" s="19">
        <v>24</v>
      </c>
      <c r="J60" s="19"/>
      <c r="K60" s="60"/>
      <c r="L60" s="57">
        <v>23</v>
      </c>
      <c r="M60" s="58"/>
      <c r="N60" s="45"/>
      <c r="O60" s="25">
        <v>26</v>
      </c>
      <c r="P60" s="19"/>
      <c r="Q60" s="60"/>
      <c r="R60" s="51">
        <v>23</v>
      </c>
      <c r="S60" s="52"/>
      <c r="T60" s="53"/>
      <c r="U60" s="66">
        <v>25</v>
      </c>
      <c r="V60" s="67"/>
      <c r="W60" s="68"/>
      <c r="X60" s="54">
        <v>22</v>
      </c>
      <c r="Y60" s="55"/>
      <c r="Z60" s="56"/>
      <c r="AA60" s="54">
        <v>26</v>
      </c>
      <c r="AB60" s="55"/>
      <c r="AC60" s="56"/>
      <c r="AD60" s="54">
        <v>24</v>
      </c>
      <c r="AE60" s="55"/>
      <c r="AF60" s="56"/>
      <c r="AG60" s="57">
        <v>26</v>
      </c>
      <c r="AH60" s="58"/>
      <c r="AI60" s="45"/>
      <c r="AJ60" s="57">
        <v>24</v>
      </c>
      <c r="AK60" s="58"/>
      <c r="AL60" s="45"/>
      <c r="AM60" s="57">
        <v>24</v>
      </c>
      <c r="AN60" s="58"/>
      <c r="AO60" s="45"/>
      <c r="AP60" s="57">
        <v>23</v>
      </c>
      <c r="AQ60" s="72"/>
      <c r="AR60" s="73"/>
      <c r="AS60" s="37">
        <f t="shared" si="1"/>
        <v>290</v>
      </c>
      <c r="AT60" s="38">
        <f t="shared" si="1"/>
        <v>0</v>
      </c>
      <c r="AU60" s="38">
        <f t="shared" si="1"/>
        <v>0</v>
      </c>
      <c r="AV60" s="85" t="s">
        <v>250</v>
      </c>
    </row>
    <row r="61" spans="1:48">
      <c r="A61" s="13">
        <v>57</v>
      </c>
      <c r="B61" s="241" t="s">
        <v>36</v>
      </c>
      <c r="C61" s="241" t="s">
        <v>146</v>
      </c>
      <c r="D61" s="74" t="s">
        <v>125</v>
      </c>
      <c r="E61" s="75" t="s">
        <v>218</v>
      </c>
      <c r="F61" s="86">
        <v>240917</v>
      </c>
      <c r="G61" s="18" t="s">
        <v>126</v>
      </c>
      <c r="H61" s="204"/>
      <c r="I61" s="19">
        <v>22.5</v>
      </c>
      <c r="J61" s="19">
        <v>80</v>
      </c>
      <c r="K61" s="60">
        <v>1</v>
      </c>
      <c r="L61" s="57">
        <v>24</v>
      </c>
      <c r="M61" s="58">
        <v>96</v>
      </c>
      <c r="N61" s="45"/>
      <c r="O61" s="25">
        <v>22</v>
      </c>
      <c r="P61" s="43">
        <v>64</v>
      </c>
      <c r="Q61" s="47"/>
      <c r="R61" s="51">
        <v>19</v>
      </c>
      <c r="S61" s="52">
        <v>44</v>
      </c>
      <c r="T61" s="53"/>
      <c r="U61" s="66">
        <v>26</v>
      </c>
      <c r="V61" s="67">
        <v>100</v>
      </c>
      <c r="W61" s="68"/>
      <c r="X61" s="18">
        <v>23.5</v>
      </c>
      <c r="Y61" s="93">
        <v>88</v>
      </c>
      <c r="Z61" s="92"/>
      <c r="AA61" s="18">
        <v>26</v>
      </c>
      <c r="AB61" s="93">
        <v>104</v>
      </c>
      <c r="AC61" s="92">
        <v>1</v>
      </c>
      <c r="AD61" s="18">
        <v>24</v>
      </c>
      <c r="AE61" s="93">
        <v>84</v>
      </c>
      <c r="AF61" s="92"/>
      <c r="AG61" s="90">
        <v>26</v>
      </c>
      <c r="AH61" s="35">
        <v>106</v>
      </c>
      <c r="AI61" s="36"/>
      <c r="AJ61" s="90">
        <v>26</v>
      </c>
      <c r="AK61" s="35">
        <v>103</v>
      </c>
      <c r="AL61" s="36">
        <v>1</v>
      </c>
      <c r="AM61" s="90">
        <v>19.5</v>
      </c>
      <c r="AN61" s="35">
        <v>32</v>
      </c>
      <c r="AO61" s="36"/>
      <c r="AP61" s="90">
        <v>23</v>
      </c>
      <c r="AQ61" s="58">
        <v>36</v>
      </c>
      <c r="AR61" s="45"/>
      <c r="AS61" s="37">
        <f t="shared" si="1"/>
        <v>281.5</v>
      </c>
      <c r="AT61" s="38">
        <f t="shared" si="1"/>
        <v>937</v>
      </c>
      <c r="AU61" s="38">
        <f t="shared" si="1"/>
        <v>3</v>
      </c>
      <c r="AV61" s="85" t="s">
        <v>250</v>
      </c>
    </row>
    <row r="62" spans="1:48">
      <c r="A62" s="13">
        <v>58</v>
      </c>
      <c r="B62" s="241" t="s">
        <v>26</v>
      </c>
      <c r="C62" s="241" t="s">
        <v>147</v>
      </c>
      <c r="D62" s="64" t="s">
        <v>111</v>
      </c>
      <c r="E62" s="111">
        <v>353</v>
      </c>
      <c r="F62" s="41">
        <v>235705</v>
      </c>
      <c r="G62" s="56" t="s">
        <v>126</v>
      </c>
      <c r="H62" s="204"/>
      <c r="I62" s="19">
        <v>24</v>
      </c>
      <c r="J62" s="19">
        <v>96</v>
      </c>
      <c r="K62" s="60">
        <v>1</v>
      </c>
      <c r="L62" s="57">
        <v>24</v>
      </c>
      <c r="M62" s="58">
        <v>96</v>
      </c>
      <c r="N62" s="45">
        <v>4</v>
      </c>
      <c r="O62" s="25">
        <v>26</v>
      </c>
      <c r="P62" s="19">
        <v>100</v>
      </c>
      <c r="Q62" s="60"/>
      <c r="R62" s="51">
        <v>22</v>
      </c>
      <c r="S62" s="52">
        <v>84</v>
      </c>
      <c r="T62" s="53"/>
      <c r="U62" s="66">
        <v>26</v>
      </c>
      <c r="V62" s="67">
        <v>104.5</v>
      </c>
      <c r="W62" s="68"/>
      <c r="X62" s="54">
        <v>24</v>
      </c>
      <c r="Y62" s="55">
        <v>96.5</v>
      </c>
      <c r="Z62" s="56">
        <v>1</v>
      </c>
      <c r="AA62" s="54">
        <v>26</v>
      </c>
      <c r="AB62" s="55">
        <v>104</v>
      </c>
      <c r="AC62" s="56">
        <v>5</v>
      </c>
      <c r="AD62" s="54">
        <v>25</v>
      </c>
      <c r="AE62" s="55">
        <v>100</v>
      </c>
      <c r="AF62" s="56">
        <v>6</v>
      </c>
      <c r="AG62" s="57">
        <v>26</v>
      </c>
      <c r="AH62" s="58">
        <v>104</v>
      </c>
      <c r="AI62" s="45">
        <v>3</v>
      </c>
      <c r="AJ62" s="57">
        <v>26</v>
      </c>
      <c r="AK62" s="58">
        <v>103</v>
      </c>
      <c r="AL62" s="45">
        <v>4</v>
      </c>
      <c r="AM62" s="57">
        <v>25</v>
      </c>
      <c r="AN62" s="58">
        <v>100</v>
      </c>
      <c r="AO62" s="45">
        <v>5</v>
      </c>
      <c r="AP62" s="57">
        <v>25</v>
      </c>
      <c r="AQ62" s="35">
        <v>96</v>
      </c>
      <c r="AR62" s="36">
        <v>4</v>
      </c>
      <c r="AS62" s="37">
        <f t="shared" si="1"/>
        <v>299</v>
      </c>
      <c r="AT62" s="38">
        <f t="shared" si="1"/>
        <v>1184</v>
      </c>
      <c r="AU62" s="38">
        <f t="shared" si="1"/>
        <v>33</v>
      </c>
      <c r="AV62" s="85" t="s">
        <v>250</v>
      </c>
    </row>
    <row r="63" spans="1:48">
      <c r="A63" s="13">
        <v>59</v>
      </c>
      <c r="B63" s="241" t="s">
        <v>30</v>
      </c>
      <c r="C63" s="241" t="s">
        <v>148</v>
      </c>
      <c r="D63" s="64" t="s">
        <v>96</v>
      </c>
      <c r="E63" s="111">
        <v>348</v>
      </c>
      <c r="F63" s="59">
        <v>242303</v>
      </c>
      <c r="G63" s="18" t="s">
        <v>126</v>
      </c>
      <c r="H63" s="204"/>
      <c r="I63" s="19">
        <v>23</v>
      </c>
      <c r="J63" s="19">
        <v>84</v>
      </c>
      <c r="K63" s="60"/>
      <c r="L63" s="57">
        <v>21</v>
      </c>
      <c r="M63" s="58">
        <v>80</v>
      </c>
      <c r="N63" s="45"/>
      <c r="O63" s="25">
        <v>23</v>
      </c>
      <c r="P63" s="19">
        <v>48</v>
      </c>
      <c r="Q63" s="60"/>
      <c r="R63" s="51">
        <v>20</v>
      </c>
      <c r="S63" s="52"/>
      <c r="T63" s="53"/>
      <c r="U63" s="66">
        <v>25</v>
      </c>
      <c r="V63" s="67">
        <v>88.5</v>
      </c>
      <c r="W63" s="68"/>
      <c r="X63" s="18">
        <v>19</v>
      </c>
      <c r="Y63" s="93">
        <v>64</v>
      </c>
      <c r="Z63" s="92"/>
      <c r="AA63" s="18">
        <v>26</v>
      </c>
      <c r="AB63" s="93">
        <v>88</v>
      </c>
      <c r="AC63" s="92"/>
      <c r="AD63" s="18">
        <v>24</v>
      </c>
      <c r="AE63" s="93">
        <v>84</v>
      </c>
      <c r="AF63" s="92"/>
      <c r="AG63" s="90">
        <v>25</v>
      </c>
      <c r="AH63" s="35">
        <v>90</v>
      </c>
      <c r="AI63" s="36">
        <v>1</v>
      </c>
      <c r="AJ63" s="90">
        <v>24.5</v>
      </c>
      <c r="AK63" s="35">
        <v>87</v>
      </c>
      <c r="AL63" s="36"/>
      <c r="AM63" s="90">
        <v>23.5</v>
      </c>
      <c r="AN63" s="35">
        <v>76</v>
      </c>
      <c r="AO63" s="36"/>
      <c r="AP63" s="90">
        <v>25</v>
      </c>
      <c r="AQ63" s="72"/>
      <c r="AR63" s="73"/>
      <c r="AS63" s="37">
        <f t="shared" si="1"/>
        <v>279</v>
      </c>
      <c r="AT63" s="38">
        <f t="shared" si="1"/>
        <v>789.5</v>
      </c>
      <c r="AU63" s="38">
        <f t="shared" si="1"/>
        <v>1</v>
      </c>
      <c r="AV63" s="85" t="s">
        <v>250</v>
      </c>
    </row>
    <row r="64" spans="1:48">
      <c r="A64" s="13">
        <v>60</v>
      </c>
      <c r="B64" s="241" t="s">
        <v>30</v>
      </c>
      <c r="C64" s="241" t="s">
        <v>149</v>
      </c>
      <c r="D64" s="64" t="s">
        <v>71</v>
      </c>
      <c r="E64" s="91">
        <v>348</v>
      </c>
      <c r="F64" s="59">
        <v>240917</v>
      </c>
      <c r="G64" s="85" t="s">
        <v>126</v>
      </c>
      <c r="H64" s="204"/>
      <c r="I64" s="19">
        <v>25</v>
      </c>
      <c r="J64" s="19">
        <v>96</v>
      </c>
      <c r="K64" s="60">
        <v>1</v>
      </c>
      <c r="L64" s="57">
        <v>24</v>
      </c>
      <c r="M64" s="58">
        <v>96</v>
      </c>
      <c r="N64" s="45">
        <v>3</v>
      </c>
      <c r="O64" s="25">
        <v>25</v>
      </c>
      <c r="P64" s="43">
        <v>92</v>
      </c>
      <c r="Q64" s="47"/>
      <c r="R64" s="51">
        <v>20.5</v>
      </c>
      <c r="S64" s="52">
        <v>76</v>
      </c>
      <c r="T64" s="53"/>
      <c r="U64" s="66">
        <v>26</v>
      </c>
      <c r="V64" s="67">
        <v>104.5</v>
      </c>
      <c r="W64" s="68"/>
      <c r="X64" s="54">
        <v>21.5</v>
      </c>
      <c r="Y64" s="55">
        <v>84.5</v>
      </c>
      <c r="Z64" s="56">
        <v>1</v>
      </c>
      <c r="AA64" s="54">
        <v>26</v>
      </c>
      <c r="AB64" s="55">
        <v>104</v>
      </c>
      <c r="AC64" s="56">
        <v>5</v>
      </c>
      <c r="AD64" s="54">
        <v>25</v>
      </c>
      <c r="AE64" s="55">
        <v>100</v>
      </c>
      <c r="AF64" s="56">
        <v>6</v>
      </c>
      <c r="AG64" s="57">
        <v>26</v>
      </c>
      <c r="AH64" s="58">
        <v>104</v>
      </c>
      <c r="AI64" s="45">
        <v>3</v>
      </c>
      <c r="AJ64" s="57">
        <v>26</v>
      </c>
      <c r="AK64" s="58">
        <v>103</v>
      </c>
      <c r="AL64" s="45">
        <v>3</v>
      </c>
      <c r="AM64" s="57">
        <v>25</v>
      </c>
      <c r="AN64" s="58">
        <v>100</v>
      </c>
      <c r="AO64" s="45">
        <v>4</v>
      </c>
      <c r="AP64" s="57">
        <v>25</v>
      </c>
      <c r="AQ64" s="72">
        <v>96</v>
      </c>
      <c r="AR64" s="73">
        <v>4</v>
      </c>
      <c r="AS64" s="37">
        <f t="shared" si="1"/>
        <v>295</v>
      </c>
      <c r="AT64" s="38">
        <f t="shared" si="1"/>
        <v>1156</v>
      </c>
      <c r="AU64" s="38">
        <f t="shared" si="1"/>
        <v>30</v>
      </c>
      <c r="AV64" s="85" t="s">
        <v>250</v>
      </c>
    </row>
    <row r="65" spans="1:48">
      <c r="A65" s="13">
        <v>61</v>
      </c>
      <c r="B65" s="241" t="s">
        <v>30</v>
      </c>
      <c r="C65" s="241" t="s">
        <v>150</v>
      </c>
      <c r="D65" s="64" t="s">
        <v>142</v>
      </c>
      <c r="E65" s="94">
        <v>582</v>
      </c>
      <c r="F65" s="59">
        <v>236130</v>
      </c>
      <c r="G65" s="56" t="s">
        <v>140</v>
      </c>
      <c r="H65" s="204"/>
      <c r="I65" s="19">
        <v>25</v>
      </c>
      <c r="J65" s="19">
        <v>100</v>
      </c>
      <c r="K65" s="60">
        <v>1</v>
      </c>
      <c r="L65" s="57">
        <v>24</v>
      </c>
      <c r="M65" s="58">
        <v>96</v>
      </c>
      <c r="N65" s="45">
        <v>4</v>
      </c>
      <c r="O65" s="25">
        <v>24</v>
      </c>
      <c r="P65" s="76">
        <v>88</v>
      </c>
      <c r="Q65" s="77"/>
      <c r="R65" s="51">
        <v>20</v>
      </c>
      <c r="S65" s="52">
        <v>76</v>
      </c>
      <c r="T65" s="53"/>
      <c r="U65" s="66">
        <v>25</v>
      </c>
      <c r="V65" s="67">
        <v>100.5</v>
      </c>
      <c r="W65" s="68"/>
      <c r="X65" s="18">
        <v>22</v>
      </c>
      <c r="Y65" s="93">
        <v>91.5</v>
      </c>
      <c r="Z65" s="92">
        <v>4</v>
      </c>
      <c r="AA65" s="18">
        <v>26</v>
      </c>
      <c r="AB65" s="93">
        <v>104</v>
      </c>
      <c r="AC65" s="92">
        <v>5</v>
      </c>
      <c r="AD65" s="18">
        <v>25</v>
      </c>
      <c r="AE65" s="93">
        <v>101</v>
      </c>
      <c r="AF65" s="92">
        <v>5</v>
      </c>
      <c r="AG65" s="90">
        <v>25</v>
      </c>
      <c r="AH65" s="35">
        <v>102</v>
      </c>
      <c r="AI65" s="36">
        <v>3</v>
      </c>
      <c r="AJ65" s="90">
        <v>26</v>
      </c>
      <c r="AK65" s="35">
        <v>104</v>
      </c>
      <c r="AL65" s="36">
        <v>4</v>
      </c>
      <c r="AM65" s="90">
        <v>25</v>
      </c>
      <c r="AN65" s="35">
        <v>100</v>
      </c>
      <c r="AO65" s="36">
        <v>5</v>
      </c>
      <c r="AP65" s="90">
        <v>25</v>
      </c>
      <c r="AQ65" s="58">
        <v>97</v>
      </c>
      <c r="AR65" s="45">
        <v>4</v>
      </c>
      <c r="AS65" s="37">
        <f t="shared" si="1"/>
        <v>292</v>
      </c>
      <c r="AT65" s="38">
        <f t="shared" si="1"/>
        <v>1160</v>
      </c>
      <c r="AU65" s="38">
        <f t="shared" si="1"/>
        <v>35</v>
      </c>
      <c r="AV65" s="85" t="s">
        <v>250</v>
      </c>
    </row>
    <row r="66" spans="1:48">
      <c r="A66" s="13">
        <v>62</v>
      </c>
      <c r="B66" s="241" t="s">
        <v>36</v>
      </c>
      <c r="C66" s="241" t="s">
        <v>151</v>
      </c>
      <c r="D66" s="64" t="s">
        <v>142</v>
      </c>
      <c r="E66" s="94">
        <v>582</v>
      </c>
      <c r="F66" s="41">
        <v>236130</v>
      </c>
      <c r="G66" s="32" t="s">
        <v>152</v>
      </c>
      <c r="H66" s="204"/>
      <c r="I66" s="19">
        <v>25</v>
      </c>
      <c r="J66" s="19">
        <v>100</v>
      </c>
      <c r="K66" s="60">
        <v>1</v>
      </c>
      <c r="L66" s="57">
        <v>24</v>
      </c>
      <c r="M66" s="58">
        <v>96</v>
      </c>
      <c r="N66" s="45">
        <v>4</v>
      </c>
      <c r="O66" s="25">
        <v>24</v>
      </c>
      <c r="P66" s="112">
        <v>96</v>
      </c>
      <c r="Q66" s="60"/>
      <c r="R66" s="51">
        <v>20</v>
      </c>
      <c r="S66" s="52">
        <v>76</v>
      </c>
      <c r="T66" s="53"/>
      <c r="U66" s="66">
        <v>25</v>
      </c>
      <c r="V66" s="67">
        <v>100</v>
      </c>
      <c r="W66" s="68"/>
      <c r="X66" s="54">
        <v>23</v>
      </c>
      <c r="Y66" s="55">
        <v>92</v>
      </c>
      <c r="Z66" s="56">
        <v>4</v>
      </c>
      <c r="AA66" s="54">
        <v>26</v>
      </c>
      <c r="AB66" s="55">
        <v>100</v>
      </c>
      <c r="AC66" s="56">
        <v>4</v>
      </c>
      <c r="AD66" s="54">
        <v>22.5</v>
      </c>
      <c r="AE66" s="55">
        <v>84</v>
      </c>
      <c r="AF66" s="56">
        <v>6</v>
      </c>
      <c r="AG66" s="57">
        <v>25</v>
      </c>
      <c r="AH66" s="58">
        <v>102</v>
      </c>
      <c r="AI66" s="45">
        <v>3</v>
      </c>
      <c r="AJ66" s="57">
        <v>25</v>
      </c>
      <c r="AK66" s="58">
        <v>100.5</v>
      </c>
      <c r="AL66" s="45">
        <v>4</v>
      </c>
      <c r="AM66" s="57">
        <v>25</v>
      </c>
      <c r="AN66" s="58">
        <v>100</v>
      </c>
      <c r="AO66" s="45">
        <v>5</v>
      </c>
      <c r="AP66" s="57">
        <v>25</v>
      </c>
      <c r="AQ66" s="58">
        <v>99</v>
      </c>
      <c r="AR66" s="45">
        <v>4</v>
      </c>
      <c r="AS66" s="37">
        <f t="shared" si="1"/>
        <v>289.5</v>
      </c>
      <c r="AT66" s="38">
        <f t="shared" si="1"/>
        <v>1145.5</v>
      </c>
      <c r="AU66" s="38">
        <f t="shared" si="1"/>
        <v>35</v>
      </c>
      <c r="AV66" s="85" t="s">
        <v>250</v>
      </c>
    </row>
    <row r="67" spans="1:48">
      <c r="A67" s="13">
        <v>63</v>
      </c>
      <c r="B67" s="241" t="s">
        <v>30</v>
      </c>
      <c r="C67" s="241" t="s">
        <v>153</v>
      </c>
      <c r="D67" s="64" t="s">
        <v>154</v>
      </c>
      <c r="E67" s="91">
        <v>348</v>
      </c>
      <c r="F67" s="59">
        <v>240344</v>
      </c>
      <c r="G67" s="56" t="s">
        <v>126</v>
      </c>
      <c r="H67" s="204"/>
      <c r="I67" s="19">
        <v>25</v>
      </c>
      <c r="J67" s="19">
        <v>92</v>
      </c>
      <c r="K67" s="60">
        <v>1</v>
      </c>
      <c r="L67" s="57">
        <v>24</v>
      </c>
      <c r="M67" s="58">
        <v>96</v>
      </c>
      <c r="N67" s="45">
        <v>4</v>
      </c>
      <c r="O67" s="25">
        <v>24.5</v>
      </c>
      <c r="P67" s="19">
        <v>75</v>
      </c>
      <c r="Q67" s="60"/>
      <c r="R67" s="51">
        <v>21</v>
      </c>
      <c r="S67" s="52">
        <v>64</v>
      </c>
      <c r="T67" s="53"/>
      <c r="U67" s="66">
        <v>24</v>
      </c>
      <c r="V67" s="67">
        <v>92</v>
      </c>
      <c r="W67" s="68"/>
      <c r="X67" s="54">
        <v>23</v>
      </c>
      <c r="Y67" s="55">
        <v>92</v>
      </c>
      <c r="Z67" s="56">
        <v>3</v>
      </c>
      <c r="AA67" s="54">
        <v>26</v>
      </c>
      <c r="AB67" s="55">
        <v>104</v>
      </c>
      <c r="AC67" s="56">
        <v>5</v>
      </c>
      <c r="AD67" s="54">
        <v>25</v>
      </c>
      <c r="AE67" s="55">
        <v>100</v>
      </c>
      <c r="AF67" s="56">
        <v>6</v>
      </c>
      <c r="AG67" s="57">
        <v>26</v>
      </c>
      <c r="AH67" s="58">
        <v>100</v>
      </c>
      <c r="AI67" s="45">
        <v>3</v>
      </c>
      <c r="AJ67" s="57">
        <v>25</v>
      </c>
      <c r="AK67" s="58">
        <v>99</v>
      </c>
      <c r="AL67" s="45">
        <v>4</v>
      </c>
      <c r="AM67" s="57">
        <v>24.5</v>
      </c>
      <c r="AN67" s="58">
        <v>92</v>
      </c>
      <c r="AO67" s="45">
        <v>5</v>
      </c>
      <c r="AP67" s="57">
        <v>25</v>
      </c>
      <c r="AQ67" s="72">
        <v>96</v>
      </c>
      <c r="AR67" s="73">
        <v>4</v>
      </c>
      <c r="AS67" s="37">
        <f t="shared" si="1"/>
        <v>293</v>
      </c>
      <c r="AT67" s="38">
        <f t="shared" si="1"/>
        <v>1102</v>
      </c>
      <c r="AU67" s="38">
        <f t="shared" si="1"/>
        <v>35</v>
      </c>
      <c r="AV67" s="85" t="s">
        <v>250</v>
      </c>
    </row>
    <row r="68" spans="1:48">
      <c r="A68" s="13">
        <v>64</v>
      </c>
      <c r="B68" s="241" t="s">
        <v>36</v>
      </c>
      <c r="C68" s="241" t="s">
        <v>155</v>
      </c>
      <c r="D68" s="74" t="s">
        <v>71</v>
      </c>
      <c r="E68" s="94">
        <v>367</v>
      </c>
      <c r="F68" s="59">
        <v>238019</v>
      </c>
      <c r="G68" s="56" t="s">
        <v>126</v>
      </c>
      <c r="H68" s="171"/>
      <c r="I68" s="19">
        <v>23</v>
      </c>
      <c r="J68" s="19">
        <v>88</v>
      </c>
      <c r="K68" s="60"/>
      <c r="L68" s="57">
        <v>22</v>
      </c>
      <c r="M68" s="58">
        <v>84</v>
      </c>
      <c r="N68" s="45"/>
      <c r="O68" s="25">
        <v>25</v>
      </c>
      <c r="P68" s="19">
        <v>92</v>
      </c>
      <c r="Q68" s="60"/>
      <c r="R68" s="51">
        <v>23</v>
      </c>
      <c r="S68" s="52">
        <v>84</v>
      </c>
      <c r="T68" s="53"/>
      <c r="U68" s="66">
        <v>24</v>
      </c>
      <c r="V68" s="67">
        <v>96</v>
      </c>
      <c r="W68" s="68"/>
      <c r="X68" s="54">
        <v>24</v>
      </c>
      <c r="Y68" s="55">
        <v>88</v>
      </c>
      <c r="Z68" s="56"/>
      <c r="AA68" s="54">
        <v>24</v>
      </c>
      <c r="AB68" s="55">
        <v>96</v>
      </c>
      <c r="AC68" s="56">
        <v>1</v>
      </c>
      <c r="AD68" s="54">
        <v>25</v>
      </c>
      <c r="AE68" s="55">
        <v>100</v>
      </c>
      <c r="AF68" s="56"/>
      <c r="AG68" s="57">
        <v>25.5</v>
      </c>
      <c r="AH68" s="58">
        <v>102</v>
      </c>
      <c r="AI68" s="45">
        <v>2</v>
      </c>
      <c r="AJ68" s="57">
        <v>26</v>
      </c>
      <c r="AK68" s="58">
        <v>103</v>
      </c>
      <c r="AL68" s="45">
        <v>4</v>
      </c>
      <c r="AM68" s="57">
        <v>25</v>
      </c>
      <c r="AN68" s="58">
        <v>100</v>
      </c>
      <c r="AO68" s="45">
        <v>5</v>
      </c>
      <c r="AP68" s="57">
        <v>24</v>
      </c>
      <c r="AQ68" s="58">
        <v>88</v>
      </c>
      <c r="AR68" s="45">
        <v>2</v>
      </c>
      <c r="AS68" s="37">
        <f t="shared" si="1"/>
        <v>290.5</v>
      </c>
      <c r="AT68" s="38">
        <f t="shared" si="1"/>
        <v>1121</v>
      </c>
      <c r="AU68" s="38">
        <f t="shared" si="1"/>
        <v>14</v>
      </c>
      <c r="AV68" s="85" t="s">
        <v>250</v>
      </c>
    </row>
    <row r="69" spans="1:48">
      <c r="A69" s="13">
        <v>65</v>
      </c>
      <c r="B69" s="241" t="s">
        <v>30</v>
      </c>
      <c r="C69" s="241" t="s">
        <v>156</v>
      </c>
      <c r="D69" s="74" t="s">
        <v>157</v>
      </c>
      <c r="E69" s="111">
        <v>348</v>
      </c>
      <c r="F69" s="79">
        <v>236264</v>
      </c>
      <c r="G69" s="32" t="s">
        <v>126</v>
      </c>
      <c r="H69" s="171"/>
      <c r="I69" s="19">
        <v>25</v>
      </c>
      <c r="J69" s="19">
        <v>92</v>
      </c>
      <c r="K69" s="60"/>
      <c r="L69" s="57">
        <v>21.5</v>
      </c>
      <c r="M69" s="58">
        <v>80</v>
      </c>
      <c r="N69" s="45">
        <v>3</v>
      </c>
      <c r="O69" s="25">
        <v>23.5</v>
      </c>
      <c r="P69" s="43">
        <v>64</v>
      </c>
      <c r="Q69" s="47"/>
      <c r="R69" s="51">
        <v>18</v>
      </c>
      <c r="S69" s="52">
        <v>52</v>
      </c>
      <c r="T69" s="53"/>
      <c r="U69" s="66">
        <v>24</v>
      </c>
      <c r="V69" s="67">
        <v>88</v>
      </c>
      <c r="W69" s="68"/>
      <c r="X69" s="18">
        <v>24</v>
      </c>
      <c r="Y69" s="93">
        <v>88</v>
      </c>
      <c r="Z69" s="92">
        <v>3</v>
      </c>
      <c r="AA69" s="54">
        <v>25.5</v>
      </c>
      <c r="AB69" s="55">
        <v>100</v>
      </c>
      <c r="AC69" s="56">
        <v>5</v>
      </c>
      <c r="AD69" s="18">
        <v>25</v>
      </c>
      <c r="AE69" s="93">
        <v>100</v>
      </c>
      <c r="AF69" s="92">
        <v>6</v>
      </c>
      <c r="AG69" s="90">
        <v>24.5</v>
      </c>
      <c r="AH69" s="35">
        <v>98</v>
      </c>
      <c r="AI69" s="36">
        <v>3</v>
      </c>
      <c r="AJ69" s="90">
        <v>23</v>
      </c>
      <c r="AK69" s="35">
        <v>91</v>
      </c>
      <c r="AL69" s="36">
        <v>4</v>
      </c>
      <c r="AM69" s="90">
        <v>25</v>
      </c>
      <c r="AN69" s="35">
        <v>100</v>
      </c>
      <c r="AO69" s="36">
        <v>5</v>
      </c>
      <c r="AP69" s="90">
        <v>24</v>
      </c>
      <c r="AQ69" s="58">
        <v>76</v>
      </c>
      <c r="AR69" s="45">
        <v>4</v>
      </c>
      <c r="AS69" s="37">
        <f t="shared" si="1"/>
        <v>283</v>
      </c>
      <c r="AT69" s="38">
        <f t="shared" si="1"/>
        <v>1029</v>
      </c>
      <c r="AU69" s="38">
        <f t="shared" si="1"/>
        <v>33</v>
      </c>
      <c r="AV69" s="85" t="s">
        <v>250</v>
      </c>
    </row>
    <row r="70" spans="1:48">
      <c r="A70" s="13">
        <v>66</v>
      </c>
      <c r="B70" s="241" t="s">
        <v>30</v>
      </c>
      <c r="C70" s="241" t="s">
        <v>158</v>
      </c>
      <c r="D70" s="74" t="s">
        <v>159</v>
      </c>
      <c r="E70" s="111">
        <v>348</v>
      </c>
      <c r="F70" s="41">
        <v>237941</v>
      </c>
      <c r="G70" s="32" t="s">
        <v>49</v>
      </c>
      <c r="H70" s="171"/>
      <c r="I70" s="19">
        <v>24</v>
      </c>
      <c r="J70" s="19">
        <v>88</v>
      </c>
      <c r="K70" s="60"/>
      <c r="L70" s="57">
        <v>23</v>
      </c>
      <c r="M70" s="58">
        <v>84</v>
      </c>
      <c r="N70" s="45"/>
      <c r="O70" s="25">
        <v>25</v>
      </c>
      <c r="P70" s="76">
        <v>88</v>
      </c>
      <c r="Q70" s="77"/>
      <c r="R70" s="51">
        <v>21.5</v>
      </c>
      <c r="S70" s="52">
        <v>76</v>
      </c>
      <c r="T70" s="53"/>
      <c r="U70" s="66">
        <v>26</v>
      </c>
      <c r="V70" s="67">
        <v>92</v>
      </c>
      <c r="W70" s="68"/>
      <c r="X70" s="54">
        <v>19</v>
      </c>
      <c r="Y70" s="55">
        <v>72</v>
      </c>
      <c r="Z70" s="56"/>
      <c r="AA70" s="18">
        <v>25</v>
      </c>
      <c r="AB70" s="93">
        <v>92</v>
      </c>
      <c r="AC70" s="92"/>
      <c r="AD70" s="54">
        <v>24</v>
      </c>
      <c r="AE70" s="55">
        <v>88</v>
      </c>
      <c r="AF70" s="56"/>
      <c r="AG70" s="57">
        <v>25.5</v>
      </c>
      <c r="AH70" s="58">
        <v>92</v>
      </c>
      <c r="AI70" s="45"/>
      <c r="AJ70" s="57">
        <v>21</v>
      </c>
      <c r="AK70" s="58">
        <v>44</v>
      </c>
      <c r="AL70" s="45"/>
      <c r="AM70" s="57">
        <v>23.5</v>
      </c>
      <c r="AN70" s="58">
        <v>84</v>
      </c>
      <c r="AO70" s="45"/>
      <c r="AP70" s="57">
        <v>23</v>
      </c>
      <c r="AQ70" s="35">
        <v>88</v>
      </c>
      <c r="AR70" s="36"/>
      <c r="AS70" s="37">
        <f t="shared" si="1"/>
        <v>280.5</v>
      </c>
      <c r="AT70" s="38">
        <f t="shared" si="1"/>
        <v>988</v>
      </c>
      <c r="AU70" s="38">
        <f t="shared" si="1"/>
        <v>0</v>
      </c>
      <c r="AV70" s="85" t="s">
        <v>250</v>
      </c>
    </row>
    <row r="71" spans="1:48">
      <c r="A71" s="13">
        <v>67</v>
      </c>
      <c r="B71" s="241" t="s">
        <v>30</v>
      </c>
      <c r="C71" s="241" t="s">
        <v>158</v>
      </c>
      <c r="D71" s="74" t="s">
        <v>69</v>
      </c>
      <c r="E71" s="91">
        <v>356</v>
      </c>
      <c r="F71" s="59">
        <v>240416</v>
      </c>
      <c r="G71" s="32" t="s">
        <v>49</v>
      </c>
      <c r="H71" s="204"/>
      <c r="I71" s="19">
        <v>23</v>
      </c>
      <c r="J71" s="19">
        <v>92</v>
      </c>
      <c r="K71" s="60"/>
      <c r="L71" s="57">
        <v>23.5</v>
      </c>
      <c r="M71" s="58">
        <v>92</v>
      </c>
      <c r="N71" s="45">
        <v>3</v>
      </c>
      <c r="O71" s="25">
        <v>24</v>
      </c>
      <c r="P71" s="19">
        <v>92</v>
      </c>
      <c r="Q71" s="60"/>
      <c r="R71" s="51">
        <v>21</v>
      </c>
      <c r="S71" s="52">
        <v>76</v>
      </c>
      <c r="T71" s="53"/>
      <c r="U71" s="66">
        <v>25</v>
      </c>
      <c r="V71" s="67">
        <v>100</v>
      </c>
      <c r="W71" s="68"/>
      <c r="X71" s="18">
        <v>23</v>
      </c>
      <c r="Y71" s="93">
        <v>92</v>
      </c>
      <c r="Z71" s="92">
        <v>3</v>
      </c>
      <c r="AA71" s="54">
        <v>25</v>
      </c>
      <c r="AB71" s="55">
        <v>100</v>
      </c>
      <c r="AC71" s="56">
        <v>4</v>
      </c>
      <c r="AD71" s="18">
        <v>24</v>
      </c>
      <c r="AE71" s="93">
        <v>96</v>
      </c>
      <c r="AF71" s="92">
        <v>5</v>
      </c>
      <c r="AG71" s="90">
        <v>23</v>
      </c>
      <c r="AH71" s="35">
        <v>92</v>
      </c>
      <c r="AI71" s="36">
        <v>3</v>
      </c>
      <c r="AJ71" s="90">
        <v>24</v>
      </c>
      <c r="AK71" s="35">
        <v>91</v>
      </c>
      <c r="AL71" s="36">
        <v>3</v>
      </c>
      <c r="AM71" s="90">
        <v>24</v>
      </c>
      <c r="AN71" s="35">
        <v>72</v>
      </c>
      <c r="AO71" s="36">
        <v>3</v>
      </c>
      <c r="AP71" s="90">
        <v>23</v>
      </c>
      <c r="AQ71" s="58">
        <v>88</v>
      </c>
      <c r="AR71" s="45">
        <v>2</v>
      </c>
      <c r="AS71" s="37">
        <f t="shared" si="1"/>
        <v>282.5</v>
      </c>
      <c r="AT71" s="38">
        <f t="shared" si="1"/>
        <v>1083</v>
      </c>
      <c r="AU71" s="38">
        <f t="shared" si="1"/>
        <v>26</v>
      </c>
      <c r="AV71" s="85" t="s">
        <v>250</v>
      </c>
    </row>
    <row r="72" spans="1:48">
      <c r="A72" s="13">
        <v>68</v>
      </c>
      <c r="B72" s="241" t="s">
        <v>30</v>
      </c>
      <c r="C72" s="241" t="s">
        <v>158</v>
      </c>
      <c r="D72" s="14" t="s">
        <v>187</v>
      </c>
      <c r="E72" s="118">
        <v>348</v>
      </c>
      <c r="F72" s="79">
        <v>243961</v>
      </c>
      <c r="G72" s="117" t="s">
        <v>126</v>
      </c>
      <c r="H72" s="204"/>
      <c r="I72" s="19">
        <v>24</v>
      </c>
      <c r="J72" s="19">
        <v>80</v>
      </c>
      <c r="K72" s="60">
        <v>1</v>
      </c>
      <c r="L72" s="57">
        <v>23</v>
      </c>
      <c r="M72" s="58">
        <v>59</v>
      </c>
      <c r="N72" s="45">
        <v>1</v>
      </c>
      <c r="O72" s="25">
        <v>26</v>
      </c>
      <c r="P72" s="43">
        <v>84</v>
      </c>
      <c r="Q72" s="47"/>
      <c r="R72" s="51">
        <v>22</v>
      </c>
      <c r="S72" s="52">
        <v>72</v>
      </c>
      <c r="T72" s="53"/>
      <c r="U72" s="66">
        <v>25</v>
      </c>
      <c r="V72" s="67">
        <v>88</v>
      </c>
      <c r="W72" s="68"/>
      <c r="X72" s="18">
        <v>23</v>
      </c>
      <c r="Y72" s="93">
        <v>80</v>
      </c>
      <c r="Z72" s="92"/>
      <c r="AA72" s="18">
        <v>25</v>
      </c>
      <c r="AB72" s="93">
        <v>88</v>
      </c>
      <c r="AC72" s="92"/>
      <c r="AD72" s="18">
        <v>23</v>
      </c>
      <c r="AE72" s="93">
        <v>84</v>
      </c>
      <c r="AF72" s="92"/>
      <c r="AG72" s="90">
        <v>24.5</v>
      </c>
      <c r="AH72" s="35">
        <v>88</v>
      </c>
      <c r="AI72" s="36">
        <v>1</v>
      </c>
      <c r="AJ72" s="90">
        <v>26</v>
      </c>
      <c r="AK72" s="35">
        <v>87</v>
      </c>
      <c r="AL72" s="36">
        <v>2</v>
      </c>
      <c r="AM72" s="90">
        <v>25</v>
      </c>
      <c r="AN72" s="35">
        <v>84</v>
      </c>
      <c r="AO72" s="36">
        <v>3</v>
      </c>
      <c r="AP72" s="90">
        <v>25</v>
      </c>
      <c r="AQ72" s="58">
        <v>92</v>
      </c>
      <c r="AR72" s="45">
        <v>4</v>
      </c>
      <c r="AS72" s="37">
        <f t="shared" si="1"/>
        <v>291.5</v>
      </c>
      <c r="AT72" s="38">
        <f t="shared" si="1"/>
        <v>986</v>
      </c>
      <c r="AU72" s="38">
        <f t="shared" si="1"/>
        <v>12</v>
      </c>
      <c r="AV72" s="85" t="s">
        <v>250</v>
      </c>
    </row>
    <row r="73" spans="1:48">
      <c r="A73" s="13">
        <v>69</v>
      </c>
      <c r="B73" s="241" t="s">
        <v>30</v>
      </c>
      <c r="C73" s="241" t="s">
        <v>160</v>
      </c>
      <c r="D73" s="74" t="s">
        <v>107</v>
      </c>
      <c r="E73" s="94">
        <v>352</v>
      </c>
      <c r="F73" s="79">
        <v>237412</v>
      </c>
      <c r="G73" s="18" t="s">
        <v>126</v>
      </c>
      <c r="H73" s="171"/>
      <c r="I73" s="19">
        <v>25</v>
      </c>
      <c r="J73" s="19">
        <v>100</v>
      </c>
      <c r="K73" s="60">
        <v>1</v>
      </c>
      <c r="L73" s="57">
        <v>24</v>
      </c>
      <c r="M73" s="58">
        <v>96</v>
      </c>
      <c r="N73" s="45">
        <v>3</v>
      </c>
      <c r="O73" s="25">
        <v>23</v>
      </c>
      <c r="P73" s="43">
        <v>80</v>
      </c>
      <c r="Q73" s="47"/>
      <c r="R73" s="51">
        <v>20</v>
      </c>
      <c r="S73" s="52">
        <v>68</v>
      </c>
      <c r="T73" s="53"/>
      <c r="U73" s="66">
        <v>23</v>
      </c>
      <c r="V73" s="67">
        <v>88.5</v>
      </c>
      <c r="W73" s="68"/>
      <c r="X73" s="54">
        <v>20</v>
      </c>
      <c r="Y73" s="55">
        <v>80</v>
      </c>
      <c r="Z73" s="56">
        <v>1</v>
      </c>
      <c r="AA73" s="18">
        <v>26</v>
      </c>
      <c r="AB73" s="93">
        <v>104</v>
      </c>
      <c r="AC73" s="92">
        <v>5</v>
      </c>
      <c r="AD73" s="54">
        <v>25</v>
      </c>
      <c r="AE73" s="55">
        <v>100</v>
      </c>
      <c r="AF73" s="56">
        <v>6</v>
      </c>
      <c r="AG73" s="57">
        <v>26</v>
      </c>
      <c r="AH73" s="58">
        <v>106</v>
      </c>
      <c r="AI73" s="45">
        <v>3</v>
      </c>
      <c r="AJ73" s="57">
        <v>26</v>
      </c>
      <c r="AK73" s="58">
        <v>103</v>
      </c>
      <c r="AL73" s="45">
        <v>3</v>
      </c>
      <c r="AM73" s="57">
        <v>22</v>
      </c>
      <c r="AN73" s="58">
        <v>88</v>
      </c>
      <c r="AO73" s="45">
        <v>3</v>
      </c>
      <c r="AP73" s="57">
        <v>24</v>
      </c>
      <c r="AQ73" s="58">
        <v>92</v>
      </c>
      <c r="AR73" s="45">
        <v>4</v>
      </c>
      <c r="AS73" s="37">
        <f t="shared" si="1"/>
        <v>284</v>
      </c>
      <c r="AT73" s="38">
        <f t="shared" si="1"/>
        <v>1105.5</v>
      </c>
      <c r="AU73" s="38">
        <f t="shared" si="1"/>
        <v>29</v>
      </c>
      <c r="AV73" s="85" t="s">
        <v>250</v>
      </c>
    </row>
    <row r="74" spans="1:48">
      <c r="A74" s="13">
        <v>70</v>
      </c>
      <c r="B74" s="241" t="s">
        <v>26</v>
      </c>
      <c r="C74" s="241" t="s">
        <v>161</v>
      </c>
      <c r="D74" s="74" t="s">
        <v>162</v>
      </c>
      <c r="E74" s="91">
        <v>348</v>
      </c>
      <c r="F74" s="41">
        <v>238512</v>
      </c>
      <c r="G74" s="56" t="s">
        <v>49</v>
      </c>
      <c r="H74" s="205"/>
      <c r="I74" s="19">
        <v>23.5</v>
      </c>
      <c r="J74" s="19">
        <v>84</v>
      </c>
      <c r="K74" s="60"/>
      <c r="L74" s="57">
        <v>22</v>
      </c>
      <c r="M74" s="58">
        <v>80</v>
      </c>
      <c r="N74" s="45"/>
      <c r="O74" s="25">
        <v>24.5</v>
      </c>
      <c r="P74" s="76">
        <v>84</v>
      </c>
      <c r="Q74" s="77"/>
      <c r="R74" s="51">
        <v>21</v>
      </c>
      <c r="S74" s="52">
        <v>72</v>
      </c>
      <c r="T74" s="53"/>
      <c r="U74" s="66">
        <v>22.5</v>
      </c>
      <c r="V74" s="67">
        <v>40</v>
      </c>
      <c r="W74" s="68"/>
      <c r="X74" s="18">
        <v>20.5</v>
      </c>
      <c r="Y74" s="93"/>
      <c r="Z74" s="92"/>
      <c r="AA74" s="54">
        <v>24.5</v>
      </c>
      <c r="AB74" s="55">
        <v>88</v>
      </c>
      <c r="AC74" s="56"/>
      <c r="AD74" s="18">
        <v>23</v>
      </c>
      <c r="AE74" s="93">
        <v>84</v>
      </c>
      <c r="AF74" s="92"/>
      <c r="AG74" s="90">
        <v>24.5</v>
      </c>
      <c r="AH74" s="35">
        <v>88</v>
      </c>
      <c r="AI74" s="36"/>
      <c r="AJ74" s="90">
        <v>24.5</v>
      </c>
      <c r="AK74" s="35">
        <v>88</v>
      </c>
      <c r="AL74" s="36"/>
      <c r="AM74" s="90">
        <v>21.5</v>
      </c>
      <c r="AN74" s="35">
        <v>36</v>
      </c>
      <c r="AO74" s="36"/>
      <c r="AP74" s="90">
        <v>21.5</v>
      </c>
      <c r="AQ74" s="58"/>
      <c r="AR74" s="45"/>
      <c r="AS74" s="37">
        <f t="shared" si="1"/>
        <v>273.5</v>
      </c>
      <c r="AT74" s="38">
        <f t="shared" si="1"/>
        <v>744</v>
      </c>
      <c r="AU74" s="38">
        <f t="shared" si="1"/>
        <v>0</v>
      </c>
      <c r="AV74" s="85" t="s">
        <v>250</v>
      </c>
    </row>
    <row r="75" spans="1:48">
      <c r="A75" s="13">
        <v>71</v>
      </c>
      <c r="B75" s="241" t="s">
        <v>30</v>
      </c>
      <c r="C75" s="241" t="s">
        <v>163</v>
      </c>
      <c r="D75" s="74" t="s">
        <v>164</v>
      </c>
      <c r="E75" s="94">
        <v>348</v>
      </c>
      <c r="F75" s="41">
        <v>237351</v>
      </c>
      <c r="G75" s="18" t="s">
        <v>126</v>
      </c>
      <c r="H75" s="205"/>
      <c r="I75" s="19">
        <v>25</v>
      </c>
      <c r="J75" s="19">
        <v>100</v>
      </c>
      <c r="K75" s="60">
        <v>1</v>
      </c>
      <c r="L75" s="57">
        <v>24</v>
      </c>
      <c r="M75" s="58">
        <v>96</v>
      </c>
      <c r="N75" s="45">
        <v>4</v>
      </c>
      <c r="O75" s="25">
        <v>26</v>
      </c>
      <c r="P75" s="19">
        <v>100</v>
      </c>
      <c r="Q75" s="60"/>
      <c r="R75" s="51">
        <v>22</v>
      </c>
      <c r="S75" s="52">
        <v>84</v>
      </c>
      <c r="T75" s="53"/>
      <c r="U75" s="66">
        <v>26</v>
      </c>
      <c r="V75" s="67">
        <v>104</v>
      </c>
      <c r="W75" s="68"/>
      <c r="X75" s="54">
        <v>23</v>
      </c>
      <c r="Y75" s="55">
        <v>92</v>
      </c>
      <c r="Z75" s="56">
        <v>2</v>
      </c>
      <c r="AA75" s="18">
        <v>25</v>
      </c>
      <c r="AB75" s="93">
        <v>100</v>
      </c>
      <c r="AC75" s="92">
        <v>4</v>
      </c>
      <c r="AD75" s="54">
        <v>24</v>
      </c>
      <c r="AE75" s="55">
        <v>96</v>
      </c>
      <c r="AF75" s="56">
        <v>6</v>
      </c>
      <c r="AG75" s="57">
        <v>26</v>
      </c>
      <c r="AH75" s="58">
        <v>104</v>
      </c>
      <c r="AI75" s="45">
        <v>3</v>
      </c>
      <c r="AJ75" s="57">
        <v>26</v>
      </c>
      <c r="AK75" s="58">
        <v>103</v>
      </c>
      <c r="AL75" s="45">
        <v>4</v>
      </c>
      <c r="AM75" s="57">
        <v>24</v>
      </c>
      <c r="AN75" s="58">
        <v>96</v>
      </c>
      <c r="AO75" s="45">
        <v>5</v>
      </c>
      <c r="AP75" s="57">
        <v>25</v>
      </c>
      <c r="AQ75" s="35">
        <v>96</v>
      </c>
      <c r="AR75" s="36">
        <v>4</v>
      </c>
      <c r="AS75" s="37">
        <f t="shared" si="1"/>
        <v>296</v>
      </c>
      <c r="AT75" s="38">
        <f t="shared" si="1"/>
        <v>1171</v>
      </c>
      <c r="AU75" s="38">
        <f t="shared" si="1"/>
        <v>33</v>
      </c>
      <c r="AV75" s="85" t="s">
        <v>250</v>
      </c>
    </row>
    <row r="76" spans="1:48">
      <c r="A76" s="13">
        <v>72</v>
      </c>
      <c r="B76" s="241" t="s">
        <v>36</v>
      </c>
      <c r="C76" s="241" t="s">
        <v>165</v>
      </c>
      <c r="D76" s="74" t="s">
        <v>162</v>
      </c>
      <c r="E76" s="91">
        <v>359</v>
      </c>
      <c r="F76" s="41">
        <v>240026</v>
      </c>
      <c r="G76" s="56" t="s">
        <v>49</v>
      </c>
      <c r="H76" s="204"/>
      <c r="I76" s="19">
        <v>24</v>
      </c>
      <c r="J76" s="19">
        <v>84</v>
      </c>
      <c r="K76" s="60"/>
      <c r="L76" s="57">
        <v>23.5</v>
      </c>
      <c r="M76" s="58">
        <v>88</v>
      </c>
      <c r="N76" s="45"/>
      <c r="O76" s="25">
        <v>24</v>
      </c>
      <c r="P76" s="43">
        <v>92</v>
      </c>
      <c r="Q76" s="47"/>
      <c r="R76" s="51">
        <v>21.5</v>
      </c>
      <c r="S76" s="52">
        <v>72</v>
      </c>
      <c r="T76" s="53"/>
      <c r="U76" s="66">
        <v>25</v>
      </c>
      <c r="V76" s="67">
        <v>96.5</v>
      </c>
      <c r="W76" s="68"/>
      <c r="X76" s="18">
        <v>21</v>
      </c>
      <c r="Y76" s="93">
        <v>80</v>
      </c>
      <c r="Z76" s="92"/>
      <c r="AA76" s="54">
        <v>26</v>
      </c>
      <c r="AB76" s="55">
        <v>100</v>
      </c>
      <c r="AC76" s="56">
        <v>2</v>
      </c>
      <c r="AD76" s="18">
        <v>25</v>
      </c>
      <c r="AE76" s="93">
        <v>100</v>
      </c>
      <c r="AF76" s="92"/>
      <c r="AG76" s="90">
        <v>23</v>
      </c>
      <c r="AH76" s="35">
        <v>90</v>
      </c>
      <c r="AI76" s="36"/>
      <c r="AJ76" s="90">
        <v>25</v>
      </c>
      <c r="AK76" s="35">
        <v>99</v>
      </c>
      <c r="AL76" s="36">
        <v>4</v>
      </c>
      <c r="AM76" s="90">
        <v>25</v>
      </c>
      <c r="AN76" s="35">
        <v>100</v>
      </c>
      <c r="AO76" s="36">
        <v>3</v>
      </c>
      <c r="AP76" s="90">
        <v>25</v>
      </c>
      <c r="AQ76" s="58">
        <v>96</v>
      </c>
      <c r="AR76" s="45">
        <v>3</v>
      </c>
      <c r="AS76" s="37">
        <f t="shared" si="1"/>
        <v>288</v>
      </c>
      <c r="AT76" s="38">
        <f t="shared" si="1"/>
        <v>1097.5</v>
      </c>
      <c r="AU76" s="38">
        <f t="shared" si="1"/>
        <v>12</v>
      </c>
      <c r="AV76" s="85" t="s">
        <v>250</v>
      </c>
    </row>
    <row r="77" spans="1:48">
      <c r="A77" s="13">
        <v>73</v>
      </c>
      <c r="B77" s="241" t="s">
        <v>30</v>
      </c>
      <c r="C77" s="241" t="s">
        <v>166</v>
      </c>
      <c r="D77" s="74" t="s">
        <v>167</v>
      </c>
      <c r="E77" s="94">
        <v>348</v>
      </c>
      <c r="F77" s="79">
        <v>237127</v>
      </c>
      <c r="G77" s="18" t="s">
        <v>126</v>
      </c>
      <c r="H77" s="204"/>
      <c r="I77" s="19">
        <v>21.5</v>
      </c>
      <c r="J77" s="19">
        <v>72</v>
      </c>
      <c r="K77" s="60"/>
      <c r="L77" s="57">
        <v>24</v>
      </c>
      <c r="M77" s="58">
        <v>88</v>
      </c>
      <c r="N77" s="45">
        <v>2</v>
      </c>
      <c r="O77" s="25">
        <v>25</v>
      </c>
      <c r="P77" s="76">
        <v>80</v>
      </c>
      <c r="Q77" s="77"/>
      <c r="R77" s="51">
        <v>22</v>
      </c>
      <c r="S77" s="52">
        <v>52</v>
      </c>
      <c r="T77" s="53"/>
      <c r="U77" s="66">
        <v>25</v>
      </c>
      <c r="V77" s="67">
        <v>88.5</v>
      </c>
      <c r="W77" s="68"/>
      <c r="X77" s="54">
        <v>20.5</v>
      </c>
      <c r="Y77" s="55">
        <v>80.5</v>
      </c>
      <c r="Z77" s="56">
        <v>1</v>
      </c>
      <c r="AA77" s="18">
        <v>25</v>
      </c>
      <c r="AB77" s="93">
        <v>96</v>
      </c>
      <c r="AC77" s="92">
        <v>4</v>
      </c>
      <c r="AD77" s="54">
        <v>21</v>
      </c>
      <c r="AE77" s="55">
        <v>72</v>
      </c>
      <c r="AF77" s="56">
        <v>4</v>
      </c>
      <c r="AG77" s="57">
        <v>25</v>
      </c>
      <c r="AH77" s="58">
        <v>88</v>
      </c>
      <c r="AI77" s="45">
        <v>2</v>
      </c>
      <c r="AJ77" s="57">
        <v>24</v>
      </c>
      <c r="AK77" s="58">
        <v>72</v>
      </c>
      <c r="AL77" s="45">
        <v>2</v>
      </c>
      <c r="AM77" s="57">
        <v>23.5</v>
      </c>
      <c r="AN77" s="58">
        <v>76</v>
      </c>
      <c r="AO77" s="45">
        <v>3</v>
      </c>
      <c r="AP77" s="57">
        <v>24</v>
      </c>
      <c r="AQ77" s="35">
        <v>88</v>
      </c>
      <c r="AR77" s="36">
        <v>4</v>
      </c>
      <c r="AS77" s="37">
        <f t="shared" si="1"/>
        <v>280.5</v>
      </c>
      <c r="AT77" s="38">
        <f t="shared" si="1"/>
        <v>953</v>
      </c>
      <c r="AU77" s="38">
        <f t="shared" si="1"/>
        <v>22</v>
      </c>
      <c r="AV77" s="85" t="s">
        <v>250</v>
      </c>
    </row>
    <row r="78" spans="1:48">
      <c r="A78" s="13">
        <v>74</v>
      </c>
      <c r="B78" s="241" t="s">
        <v>36</v>
      </c>
      <c r="C78" s="241" t="s">
        <v>168</v>
      </c>
      <c r="D78" s="64" t="s">
        <v>169</v>
      </c>
      <c r="E78" s="94">
        <v>359</v>
      </c>
      <c r="F78" s="41">
        <v>240235</v>
      </c>
      <c r="G78" s="56" t="s">
        <v>49</v>
      </c>
      <c r="H78" s="204"/>
      <c r="I78" s="19">
        <v>25</v>
      </c>
      <c r="J78" s="19">
        <v>96</v>
      </c>
      <c r="K78" s="60"/>
      <c r="L78" s="57">
        <v>24</v>
      </c>
      <c r="M78" s="58">
        <v>96</v>
      </c>
      <c r="N78" s="45">
        <v>3</v>
      </c>
      <c r="O78" s="25">
        <v>25</v>
      </c>
      <c r="P78" s="76">
        <v>88</v>
      </c>
      <c r="Q78" s="77"/>
      <c r="R78" s="113">
        <v>23</v>
      </c>
      <c r="S78" s="52">
        <v>88</v>
      </c>
      <c r="T78" s="53"/>
      <c r="U78" s="66">
        <v>24.5</v>
      </c>
      <c r="V78" s="67">
        <v>88</v>
      </c>
      <c r="W78" s="68"/>
      <c r="X78" s="54">
        <v>24</v>
      </c>
      <c r="Y78" s="55">
        <v>96.5</v>
      </c>
      <c r="Z78" s="56">
        <v>2</v>
      </c>
      <c r="AA78" s="54">
        <v>26</v>
      </c>
      <c r="AB78" s="55">
        <v>104</v>
      </c>
      <c r="AC78" s="56">
        <v>4</v>
      </c>
      <c r="AD78" s="54">
        <v>23</v>
      </c>
      <c r="AE78" s="55">
        <v>84</v>
      </c>
      <c r="AF78" s="56">
        <v>4</v>
      </c>
      <c r="AG78" s="57">
        <v>26</v>
      </c>
      <c r="AH78" s="58">
        <v>106</v>
      </c>
      <c r="AI78" s="45">
        <v>3</v>
      </c>
      <c r="AJ78" s="57">
        <v>26</v>
      </c>
      <c r="AK78" s="58">
        <v>99.5</v>
      </c>
      <c r="AL78" s="45">
        <v>2</v>
      </c>
      <c r="AM78" s="57">
        <v>24</v>
      </c>
      <c r="AN78" s="58">
        <v>88</v>
      </c>
      <c r="AO78" s="45">
        <v>2</v>
      </c>
      <c r="AP78" s="57">
        <v>25</v>
      </c>
      <c r="AQ78" s="58">
        <v>96</v>
      </c>
      <c r="AR78" s="45">
        <v>4</v>
      </c>
      <c r="AS78" s="37">
        <f t="shared" si="1"/>
        <v>295.5</v>
      </c>
      <c r="AT78" s="38">
        <f t="shared" si="1"/>
        <v>1130</v>
      </c>
      <c r="AU78" s="38">
        <f t="shared" si="1"/>
        <v>24</v>
      </c>
      <c r="AV78" s="85" t="s">
        <v>250</v>
      </c>
    </row>
    <row r="79" spans="1:48">
      <c r="A79" s="13">
        <v>75</v>
      </c>
      <c r="B79" s="241" t="s">
        <v>26</v>
      </c>
      <c r="C79" s="241" t="s">
        <v>182</v>
      </c>
      <c r="D79" s="14" t="s">
        <v>77</v>
      </c>
      <c r="E79" s="65" t="s">
        <v>218</v>
      </c>
      <c r="F79" s="79">
        <v>243957</v>
      </c>
      <c r="G79" s="117" t="s">
        <v>49</v>
      </c>
      <c r="H79" s="206"/>
      <c r="I79" s="19">
        <v>24.5</v>
      </c>
      <c r="J79" s="19">
        <v>84</v>
      </c>
      <c r="K79" s="60"/>
      <c r="L79" s="57">
        <v>24</v>
      </c>
      <c r="M79" s="58">
        <v>80</v>
      </c>
      <c r="N79" s="45"/>
      <c r="O79" s="25">
        <v>24</v>
      </c>
      <c r="P79" s="76">
        <v>84</v>
      </c>
      <c r="Q79" s="77"/>
      <c r="R79" s="48">
        <v>17.5</v>
      </c>
      <c r="S79" s="49">
        <v>24</v>
      </c>
      <c r="T79" s="50"/>
      <c r="U79" s="101">
        <v>23.5</v>
      </c>
      <c r="V79" s="102"/>
      <c r="W79" s="103"/>
      <c r="X79" s="18">
        <v>23</v>
      </c>
      <c r="Y79" s="93">
        <v>56</v>
      </c>
      <c r="Z79" s="92"/>
      <c r="AA79" s="104">
        <v>24</v>
      </c>
      <c r="AB79" s="105">
        <v>64</v>
      </c>
      <c r="AC79" s="32"/>
      <c r="AD79" s="18">
        <v>24.5</v>
      </c>
      <c r="AE79" s="93">
        <v>96</v>
      </c>
      <c r="AF79" s="92"/>
      <c r="AG79" s="90">
        <v>25.5</v>
      </c>
      <c r="AH79" s="35">
        <v>98</v>
      </c>
      <c r="AI79" s="36">
        <v>2</v>
      </c>
      <c r="AJ79" s="90">
        <v>25.5</v>
      </c>
      <c r="AK79" s="35">
        <v>95</v>
      </c>
      <c r="AL79" s="36">
        <v>2</v>
      </c>
      <c r="AM79" s="90">
        <v>24</v>
      </c>
      <c r="AN79" s="35">
        <v>68</v>
      </c>
      <c r="AO79" s="36"/>
      <c r="AP79" s="90">
        <v>23</v>
      </c>
      <c r="AQ79" s="58">
        <v>80</v>
      </c>
      <c r="AR79" s="45"/>
      <c r="AS79" s="37">
        <f t="shared" ref="AS79:AU104" si="2">SUM(I79+L79+O79+R79+U79+X79+AA79+AD79+AG79+AJ79+AM79+AP79)</f>
        <v>283</v>
      </c>
      <c r="AT79" s="38">
        <f t="shared" si="2"/>
        <v>829</v>
      </c>
      <c r="AU79" s="38">
        <f t="shared" si="2"/>
        <v>4</v>
      </c>
      <c r="AV79" s="85" t="s">
        <v>250</v>
      </c>
    </row>
    <row r="80" spans="1:48">
      <c r="A80" s="13">
        <v>76</v>
      </c>
      <c r="B80" s="241" t="s">
        <v>26</v>
      </c>
      <c r="C80" s="241" t="s">
        <v>170</v>
      </c>
      <c r="D80" s="64" t="s">
        <v>171</v>
      </c>
      <c r="E80" s="94">
        <v>348</v>
      </c>
      <c r="F80" s="79">
        <v>243257</v>
      </c>
      <c r="G80" s="56" t="s">
        <v>49</v>
      </c>
      <c r="H80" s="206"/>
      <c r="I80" s="19">
        <v>22.5</v>
      </c>
      <c r="J80" s="19">
        <v>84</v>
      </c>
      <c r="K80" s="60">
        <v>1</v>
      </c>
      <c r="L80" s="57">
        <v>24</v>
      </c>
      <c r="M80" s="58">
        <v>96</v>
      </c>
      <c r="N80" s="45">
        <v>4</v>
      </c>
      <c r="O80" s="25">
        <v>23.5</v>
      </c>
      <c r="P80" s="76">
        <v>84</v>
      </c>
      <c r="Q80" s="77"/>
      <c r="R80" s="48">
        <v>20.5</v>
      </c>
      <c r="S80" s="49">
        <v>72</v>
      </c>
      <c r="T80" s="50"/>
      <c r="U80" s="101">
        <v>24.5</v>
      </c>
      <c r="V80" s="102">
        <v>88</v>
      </c>
      <c r="W80" s="103"/>
      <c r="X80" s="18">
        <v>22.5</v>
      </c>
      <c r="Y80" s="93">
        <v>88</v>
      </c>
      <c r="Z80" s="92">
        <v>1</v>
      </c>
      <c r="AA80" s="104">
        <v>25</v>
      </c>
      <c r="AB80" s="105">
        <v>96</v>
      </c>
      <c r="AC80" s="32">
        <v>5</v>
      </c>
      <c r="AD80" s="18">
        <v>25</v>
      </c>
      <c r="AE80" s="93">
        <v>100</v>
      </c>
      <c r="AF80" s="92">
        <v>6</v>
      </c>
      <c r="AG80" s="90">
        <v>26</v>
      </c>
      <c r="AH80" s="35">
        <v>106</v>
      </c>
      <c r="AI80" s="36">
        <v>3</v>
      </c>
      <c r="AJ80" s="90">
        <v>23.5</v>
      </c>
      <c r="AK80" s="35">
        <v>87</v>
      </c>
      <c r="AL80" s="36">
        <v>1</v>
      </c>
      <c r="AM80" s="90">
        <v>25</v>
      </c>
      <c r="AN80" s="35">
        <v>100</v>
      </c>
      <c r="AO80" s="36">
        <v>4</v>
      </c>
      <c r="AP80" s="90">
        <v>25</v>
      </c>
      <c r="AQ80" s="58">
        <v>96</v>
      </c>
      <c r="AR80" s="45">
        <v>4</v>
      </c>
      <c r="AS80" s="37">
        <f t="shared" si="2"/>
        <v>287</v>
      </c>
      <c r="AT80" s="38">
        <f t="shared" si="2"/>
        <v>1097</v>
      </c>
      <c r="AU80" s="38">
        <f t="shared" si="2"/>
        <v>29</v>
      </c>
      <c r="AV80" s="85" t="s">
        <v>250</v>
      </c>
    </row>
    <row r="81" spans="1:48">
      <c r="A81" s="13">
        <v>77</v>
      </c>
      <c r="B81" s="241" t="s">
        <v>26</v>
      </c>
      <c r="C81" s="241" t="s">
        <v>172</v>
      </c>
      <c r="D81" s="74" t="s">
        <v>173</v>
      </c>
      <c r="E81" s="94">
        <v>348</v>
      </c>
      <c r="F81" s="79">
        <v>241848</v>
      </c>
      <c r="G81" s="56" t="s">
        <v>174</v>
      </c>
      <c r="H81" s="206"/>
      <c r="I81" s="19">
        <v>23</v>
      </c>
      <c r="J81" s="19">
        <v>84</v>
      </c>
      <c r="K81" s="60"/>
      <c r="L81" s="57">
        <v>24</v>
      </c>
      <c r="M81" s="58">
        <v>92</v>
      </c>
      <c r="N81" s="45"/>
      <c r="O81" s="25">
        <v>24</v>
      </c>
      <c r="P81" s="76">
        <v>88</v>
      </c>
      <c r="Q81" s="77"/>
      <c r="R81" s="51">
        <v>21.5</v>
      </c>
      <c r="S81" s="52">
        <v>76</v>
      </c>
      <c r="T81" s="53"/>
      <c r="U81" s="66">
        <v>26</v>
      </c>
      <c r="V81" s="67">
        <v>100</v>
      </c>
      <c r="W81" s="68"/>
      <c r="X81" s="54">
        <v>24</v>
      </c>
      <c r="Y81" s="55">
        <v>96</v>
      </c>
      <c r="Z81" s="56">
        <v>1</v>
      </c>
      <c r="AA81" s="18">
        <v>26</v>
      </c>
      <c r="AB81" s="93">
        <v>104</v>
      </c>
      <c r="AC81" s="92">
        <v>5</v>
      </c>
      <c r="AD81" s="54">
        <v>25</v>
      </c>
      <c r="AE81" s="55">
        <v>100</v>
      </c>
      <c r="AF81" s="56">
        <v>4</v>
      </c>
      <c r="AG81" s="57">
        <v>19.5</v>
      </c>
      <c r="AH81" s="58">
        <v>76</v>
      </c>
      <c r="AI81" s="45">
        <v>2</v>
      </c>
      <c r="AJ81" s="57">
        <v>25</v>
      </c>
      <c r="AK81" s="58">
        <v>99</v>
      </c>
      <c r="AL81" s="45">
        <v>4</v>
      </c>
      <c r="AM81" s="57">
        <v>25</v>
      </c>
      <c r="AN81" s="58">
        <v>100</v>
      </c>
      <c r="AO81" s="45">
        <v>2</v>
      </c>
      <c r="AP81" s="57">
        <v>25</v>
      </c>
      <c r="AQ81" s="35">
        <v>96</v>
      </c>
      <c r="AR81" s="36">
        <v>4</v>
      </c>
      <c r="AS81" s="37">
        <f t="shared" si="2"/>
        <v>288</v>
      </c>
      <c r="AT81" s="38">
        <f t="shared" si="2"/>
        <v>1111</v>
      </c>
      <c r="AU81" s="38">
        <f t="shared" si="2"/>
        <v>22</v>
      </c>
      <c r="AV81" s="85" t="s">
        <v>250</v>
      </c>
    </row>
    <row r="82" spans="1:48">
      <c r="A82" s="13">
        <v>78</v>
      </c>
      <c r="B82" s="241" t="s">
        <v>30</v>
      </c>
      <c r="C82" s="241" t="s">
        <v>175</v>
      </c>
      <c r="D82" s="74" t="s">
        <v>123</v>
      </c>
      <c r="E82" s="94">
        <v>357</v>
      </c>
      <c r="F82" s="79">
        <v>243822</v>
      </c>
      <c r="G82" s="32" t="s">
        <v>176</v>
      </c>
      <c r="H82" s="207"/>
      <c r="I82" s="19">
        <v>25</v>
      </c>
      <c r="J82" s="19">
        <v>92</v>
      </c>
      <c r="K82" s="60">
        <v>1</v>
      </c>
      <c r="L82" s="57">
        <v>24</v>
      </c>
      <c r="M82" s="58">
        <v>98</v>
      </c>
      <c r="N82" s="45">
        <v>4</v>
      </c>
      <c r="O82" s="25">
        <v>26</v>
      </c>
      <c r="P82" s="76">
        <v>94</v>
      </c>
      <c r="Q82" s="77"/>
      <c r="R82" s="51">
        <v>23</v>
      </c>
      <c r="S82" s="52">
        <v>84</v>
      </c>
      <c r="T82" s="53"/>
      <c r="U82" s="66">
        <v>24</v>
      </c>
      <c r="V82" s="67">
        <v>92</v>
      </c>
      <c r="W82" s="68"/>
      <c r="X82" s="18">
        <v>23</v>
      </c>
      <c r="Y82" s="93">
        <v>95.5</v>
      </c>
      <c r="Z82" s="92">
        <v>2</v>
      </c>
      <c r="AA82" s="18">
        <v>26</v>
      </c>
      <c r="AB82" s="93">
        <v>106</v>
      </c>
      <c r="AC82" s="92">
        <v>5</v>
      </c>
      <c r="AD82" s="18">
        <v>25</v>
      </c>
      <c r="AE82" s="93">
        <v>119.5</v>
      </c>
      <c r="AF82" s="92">
        <v>6</v>
      </c>
      <c r="AG82" s="90">
        <v>26</v>
      </c>
      <c r="AH82" s="35">
        <v>122</v>
      </c>
      <c r="AI82" s="36">
        <v>3</v>
      </c>
      <c r="AJ82" s="90">
        <v>26</v>
      </c>
      <c r="AK82" s="35">
        <v>109</v>
      </c>
      <c r="AL82" s="36">
        <v>4</v>
      </c>
      <c r="AM82" s="90">
        <v>24.5</v>
      </c>
      <c r="AN82" s="35">
        <v>99</v>
      </c>
      <c r="AO82" s="36">
        <v>4</v>
      </c>
      <c r="AP82" s="90">
        <v>25</v>
      </c>
      <c r="AQ82" s="35">
        <v>97</v>
      </c>
      <c r="AR82" s="36">
        <v>4</v>
      </c>
      <c r="AS82" s="37">
        <f t="shared" si="2"/>
        <v>297.5</v>
      </c>
      <c r="AT82" s="38">
        <f t="shared" si="2"/>
        <v>1208</v>
      </c>
      <c r="AU82" s="38">
        <f t="shared" si="2"/>
        <v>33</v>
      </c>
      <c r="AV82" s="85" t="s">
        <v>250</v>
      </c>
    </row>
    <row r="83" spans="1:48">
      <c r="A83" s="13">
        <v>79</v>
      </c>
      <c r="B83" s="241" t="s">
        <v>36</v>
      </c>
      <c r="C83" s="241" t="s">
        <v>177</v>
      </c>
      <c r="D83" s="74" t="s">
        <v>178</v>
      </c>
      <c r="E83" s="94">
        <v>358</v>
      </c>
      <c r="F83" s="59">
        <v>238004</v>
      </c>
      <c r="G83" s="32" t="s">
        <v>49</v>
      </c>
      <c r="H83" s="207"/>
      <c r="I83" s="19">
        <v>24</v>
      </c>
      <c r="J83" s="19">
        <v>98</v>
      </c>
      <c r="K83" s="60">
        <v>1</v>
      </c>
      <c r="L83" s="57">
        <v>24</v>
      </c>
      <c r="M83" s="58">
        <v>96</v>
      </c>
      <c r="N83" s="45">
        <v>2</v>
      </c>
      <c r="O83" s="25">
        <v>25</v>
      </c>
      <c r="P83" s="19">
        <v>92</v>
      </c>
      <c r="Q83" s="60"/>
      <c r="R83" s="51">
        <v>21</v>
      </c>
      <c r="S83" s="52">
        <v>76</v>
      </c>
      <c r="T83" s="53"/>
      <c r="U83" s="66">
        <v>26</v>
      </c>
      <c r="V83" s="67">
        <v>96</v>
      </c>
      <c r="W83" s="68"/>
      <c r="X83" s="114">
        <v>24</v>
      </c>
      <c r="Y83" s="115">
        <v>92</v>
      </c>
      <c r="Z83" s="116"/>
      <c r="AA83" s="54">
        <v>22</v>
      </c>
      <c r="AB83" s="55">
        <v>88</v>
      </c>
      <c r="AC83" s="56"/>
      <c r="AD83" s="114">
        <v>25</v>
      </c>
      <c r="AE83" s="115">
        <v>100</v>
      </c>
      <c r="AF83" s="116"/>
      <c r="AG83" s="90">
        <v>26</v>
      </c>
      <c r="AH83" s="35">
        <v>106</v>
      </c>
      <c r="AI83" s="36"/>
      <c r="AJ83" s="90">
        <v>25</v>
      </c>
      <c r="AK83" s="35">
        <v>99</v>
      </c>
      <c r="AL83" s="36"/>
      <c r="AM83" s="90">
        <v>25</v>
      </c>
      <c r="AN83" s="35">
        <v>100</v>
      </c>
      <c r="AO83" s="36"/>
      <c r="AP83" s="90">
        <v>23</v>
      </c>
      <c r="AQ83" s="72">
        <v>88</v>
      </c>
      <c r="AR83" s="73"/>
      <c r="AS83" s="37">
        <f t="shared" si="2"/>
        <v>290</v>
      </c>
      <c r="AT83" s="38">
        <f t="shared" si="2"/>
        <v>1131</v>
      </c>
      <c r="AU83" s="38">
        <f t="shared" si="2"/>
        <v>3</v>
      </c>
      <c r="AV83" s="85" t="s">
        <v>250</v>
      </c>
    </row>
    <row r="84" spans="1:48">
      <c r="A84" s="13">
        <v>80</v>
      </c>
      <c r="B84" s="241" t="s">
        <v>36</v>
      </c>
      <c r="C84" s="241" t="s">
        <v>179</v>
      </c>
      <c r="D84" s="74" t="s">
        <v>111</v>
      </c>
      <c r="E84" s="94">
        <v>358</v>
      </c>
      <c r="F84" s="79">
        <v>235377</v>
      </c>
      <c r="G84" s="32" t="s">
        <v>49</v>
      </c>
      <c r="H84" s="207"/>
      <c r="I84" s="19">
        <v>25</v>
      </c>
      <c r="J84" s="19">
        <v>92</v>
      </c>
      <c r="K84" s="60"/>
      <c r="L84" s="57">
        <v>22</v>
      </c>
      <c r="M84" s="58">
        <v>80</v>
      </c>
      <c r="N84" s="45"/>
      <c r="O84" s="25">
        <v>24.5</v>
      </c>
      <c r="P84" s="19">
        <v>84</v>
      </c>
      <c r="Q84" s="60"/>
      <c r="R84" s="51">
        <v>22</v>
      </c>
      <c r="S84" s="52">
        <v>72</v>
      </c>
      <c r="T84" s="53"/>
      <c r="U84" s="66">
        <v>24</v>
      </c>
      <c r="V84" s="67">
        <v>88</v>
      </c>
      <c r="W84" s="68"/>
      <c r="X84" s="66">
        <v>24</v>
      </c>
      <c r="Y84" s="67">
        <v>84</v>
      </c>
      <c r="Z84" s="68"/>
      <c r="AA84" s="114">
        <v>25.5</v>
      </c>
      <c r="AB84" s="115">
        <v>100</v>
      </c>
      <c r="AC84" s="116"/>
      <c r="AD84" s="66">
        <v>24</v>
      </c>
      <c r="AE84" s="67">
        <v>92</v>
      </c>
      <c r="AF84" s="68"/>
      <c r="AG84" s="57">
        <v>24.5</v>
      </c>
      <c r="AH84" s="58">
        <v>88</v>
      </c>
      <c r="AI84" s="45"/>
      <c r="AJ84" s="57">
        <v>23</v>
      </c>
      <c r="AK84" s="58">
        <v>91</v>
      </c>
      <c r="AL84" s="45"/>
      <c r="AM84" s="57">
        <v>25</v>
      </c>
      <c r="AN84" s="58">
        <v>96</v>
      </c>
      <c r="AO84" s="45"/>
      <c r="AP84" s="57">
        <v>23</v>
      </c>
      <c r="AQ84" s="72">
        <v>84</v>
      </c>
      <c r="AR84" s="73"/>
      <c r="AS84" s="37">
        <f t="shared" si="2"/>
        <v>286.5</v>
      </c>
      <c r="AT84" s="38">
        <f t="shared" si="2"/>
        <v>1051</v>
      </c>
      <c r="AU84" s="38">
        <f t="shared" si="2"/>
        <v>0</v>
      </c>
      <c r="AV84" s="85" t="s">
        <v>250</v>
      </c>
    </row>
    <row r="85" spans="1:48">
      <c r="A85" s="13">
        <v>81</v>
      </c>
      <c r="B85" s="241" t="s">
        <v>26</v>
      </c>
      <c r="C85" s="241" t="s">
        <v>180</v>
      </c>
      <c r="D85" s="74" t="s">
        <v>136</v>
      </c>
      <c r="E85" s="94">
        <v>348</v>
      </c>
      <c r="F85" s="41">
        <v>239933</v>
      </c>
      <c r="G85" s="32" t="s">
        <v>49</v>
      </c>
      <c r="H85" s="207"/>
      <c r="I85" s="19">
        <v>22</v>
      </c>
      <c r="J85" s="19"/>
      <c r="K85" s="60"/>
      <c r="L85" s="57">
        <v>22</v>
      </c>
      <c r="M85" s="58"/>
      <c r="N85" s="45"/>
      <c r="O85" s="25">
        <v>22</v>
      </c>
      <c r="P85" s="43"/>
      <c r="Q85" s="47"/>
      <c r="R85" s="51">
        <v>21</v>
      </c>
      <c r="S85" s="52"/>
      <c r="T85" s="53"/>
      <c r="U85" s="66">
        <v>23.5</v>
      </c>
      <c r="V85" s="67"/>
      <c r="W85" s="68"/>
      <c r="X85" s="114">
        <v>12</v>
      </c>
      <c r="Y85" s="115"/>
      <c r="Z85" s="116"/>
      <c r="AA85" s="66">
        <v>25.5</v>
      </c>
      <c r="AB85" s="67"/>
      <c r="AC85" s="68"/>
      <c r="AD85" s="114">
        <v>22.5</v>
      </c>
      <c r="AE85" s="115"/>
      <c r="AF85" s="116"/>
      <c r="AG85" s="90">
        <v>24.5</v>
      </c>
      <c r="AH85" s="35"/>
      <c r="AI85" s="36"/>
      <c r="AJ85" s="90">
        <v>18</v>
      </c>
      <c r="AK85" s="35"/>
      <c r="AL85" s="36"/>
      <c r="AM85" s="90">
        <v>22</v>
      </c>
      <c r="AN85" s="35"/>
      <c r="AO85" s="36"/>
      <c r="AP85" s="90">
        <v>23</v>
      </c>
      <c r="AQ85" s="72"/>
      <c r="AR85" s="73"/>
      <c r="AS85" s="37">
        <f t="shared" si="2"/>
        <v>258</v>
      </c>
      <c r="AT85" s="38">
        <f t="shared" si="2"/>
        <v>0</v>
      </c>
      <c r="AU85" s="38">
        <f t="shared" si="2"/>
        <v>0</v>
      </c>
      <c r="AV85" s="85" t="s">
        <v>250</v>
      </c>
    </row>
    <row r="86" spans="1:48">
      <c r="A86" s="13">
        <v>82</v>
      </c>
      <c r="B86" s="241" t="s">
        <v>26</v>
      </c>
      <c r="C86" s="241" t="s">
        <v>181</v>
      </c>
      <c r="D86" s="64" t="s">
        <v>123</v>
      </c>
      <c r="E86" s="111">
        <v>352</v>
      </c>
      <c r="F86" s="59">
        <v>239357</v>
      </c>
      <c r="G86" s="32" t="s">
        <v>126</v>
      </c>
      <c r="H86" s="207"/>
      <c r="I86" s="19">
        <v>22.5</v>
      </c>
      <c r="J86" s="19">
        <v>72</v>
      </c>
      <c r="K86" s="60"/>
      <c r="L86" s="57">
        <v>24</v>
      </c>
      <c r="M86" s="58">
        <v>92</v>
      </c>
      <c r="N86" s="45">
        <v>2</v>
      </c>
      <c r="O86" s="25">
        <v>24.5</v>
      </c>
      <c r="P86" s="19">
        <v>76</v>
      </c>
      <c r="Q86" s="60"/>
      <c r="R86" s="51">
        <v>20.5</v>
      </c>
      <c r="S86" s="52">
        <v>56</v>
      </c>
      <c r="T86" s="53"/>
      <c r="U86" s="66">
        <v>24.5</v>
      </c>
      <c r="V86" s="67">
        <v>92</v>
      </c>
      <c r="W86" s="68"/>
      <c r="X86" s="66">
        <v>24</v>
      </c>
      <c r="Y86" s="67">
        <v>92.5</v>
      </c>
      <c r="Z86" s="68">
        <v>2</v>
      </c>
      <c r="AA86" s="66">
        <v>26</v>
      </c>
      <c r="AB86" s="67">
        <v>104</v>
      </c>
      <c r="AC86" s="68">
        <v>3</v>
      </c>
      <c r="AD86" s="66">
        <v>17.5</v>
      </c>
      <c r="AE86" s="67">
        <v>64</v>
      </c>
      <c r="AF86" s="68">
        <v>1</v>
      </c>
      <c r="AG86" s="57">
        <v>25.5</v>
      </c>
      <c r="AH86" s="58">
        <v>96</v>
      </c>
      <c r="AI86" s="45">
        <v>3</v>
      </c>
      <c r="AJ86" s="57">
        <v>19.5</v>
      </c>
      <c r="AK86" s="58">
        <v>71</v>
      </c>
      <c r="AL86" s="45">
        <v>1</v>
      </c>
      <c r="AM86" s="57">
        <v>25</v>
      </c>
      <c r="AN86" s="58">
        <v>100</v>
      </c>
      <c r="AO86" s="45">
        <v>3</v>
      </c>
      <c r="AP86" s="57">
        <v>25</v>
      </c>
      <c r="AQ86" s="72">
        <v>96</v>
      </c>
      <c r="AR86" s="73">
        <v>4</v>
      </c>
      <c r="AS86" s="37">
        <f t="shared" si="2"/>
        <v>278.5</v>
      </c>
      <c r="AT86" s="38">
        <f t="shared" si="2"/>
        <v>1011.5</v>
      </c>
      <c r="AU86" s="38">
        <f t="shared" si="2"/>
        <v>19</v>
      </c>
      <c r="AV86" s="85" t="s">
        <v>250</v>
      </c>
    </row>
    <row r="87" spans="1:48">
      <c r="A87" s="13">
        <v>83</v>
      </c>
      <c r="B87" s="241" t="s">
        <v>26</v>
      </c>
      <c r="C87" s="241" t="s">
        <v>208</v>
      </c>
      <c r="D87" s="64" t="s">
        <v>246</v>
      </c>
      <c r="E87" s="91">
        <v>348</v>
      </c>
      <c r="F87" s="79">
        <v>244159</v>
      </c>
      <c r="G87" s="32" t="s">
        <v>126</v>
      </c>
      <c r="H87" s="207"/>
      <c r="I87" s="19"/>
      <c r="J87" s="19"/>
      <c r="K87" s="60"/>
      <c r="L87" s="57"/>
      <c r="M87" s="58"/>
      <c r="N87" s="45"/>
      <c r="O87" s="25"/>
      <c r="P87" s="76"/>
      <c r="Q87" s="77"/>
      <c r="R87" s="51"/>
      <c r="S87" s="52"/>
      <c r="T87" s="53"/>
      <c r="U87" s="66"/>
      <c r="V87" s="67"/>
      <c r="W87" s="68"/>
      <c r="X87" s="114">
        <v>6</v>
      </c>
      <c r="Y87" s="115">
        <v>24</v>
      </c>
      <c r="Z87" s="116">
        <v>1</v>
      </c>
      <c r="AA87" s="114">
        <v>26</v>
      </c>
      <c r="AB87" s="115">
        <v>104</v>
      </c>
      <c r="AC87" s="116">
        <v>5</v>
      </c>
      <c r="AD87" s="114">
        <v>23</v>
      </c>
      <c r="AE87" s="115">
        <v>88</v>
      </c>
      <c r="AF87" s="116">
        <v>4</v>
      </c>
      <c r="AG87" s="90">
        <v>26</v>
      </c>
      <c r="AH87" s="35">
        <v>106</v>
      </c>
      <c r="AI87" s="36">
        <v>3</v>
      </c>
      <c r="AJ87" s="90">
        <v>26</v>
      </c>
      <c r="AK87" s="35">
        <v>99</v>
      </c>
      <c r="AL87" s="36">
        <v>2</v>
      </c>
      <c r="AM87" s="90">
        <v>24</v>
      </c>
      <c r="AN87" s="35">
        <v>92</v>
      </c>
      <c r="AO87" s="36">
        <v>3</v>
      </c>
      <c r="AP87" s="90">
        <v>24</v>
      </c>
      <c r="AQ87" s="72">
        <v>76</v>
      </c>
      <c r="AR87" s="73">
        <v>2</v>
      </c>
      <c r="AS87" s="37">
        <f t="shared" si="2"/>
        <v>155</v>
      </c>
      <c r="AT87" s="38">
        <f t="shared" si="2"/>
        <v>589</v>
      </c>
      <c r="AU87" s="38">
        <f t="shared" si="2"/>
        <v>20</v>
      </c>
      <c r="AV87" s="85" t="s">
        <v>250</v>
      </c>
    </row>
    <row r="88" spans="1:48">
      <c r="A88" s="13">
        <v>84</v>
      </c>
      <c r="B88" s="241" t="s">
        <v>26</v>
      </c>
      <c r="C88" s="241" t="s">
        <v>237</v>
      </c>
      <c r="D88" s="14" t="s">
        <v>232</v>
      </c>
      <c r="E88" s="65" t="s">
        <v>218</v>
      </c>
      <c r="F88" s="79">
        <v>244194</v>
      </c>
      <c r="G88" s="32" t="s">
        <v>126</v>
      </c>
      <c r="H88" s="207"/>
      <c r="I88" s="19"/>
      <c r="J88" s="19"/>
      <c r="K88" s="60"/>
      <c r="L88" s="57"/>
      <c r="M88" s="58"/>
      <c r="N88" s="45"/>
      <c r="O88" s="25"/>
      <c r="P88" s="76"/>
      <c r="Q88" s="77"/>
      <c r="R88" s="51"/>
      <c r="S88" s="52"/>
      <c r="T88" s="53"/>
      <c r="U88" s="66"/>
      <c r="V88" s="67"/>
      <c r="W88" s="68"/>
      <c r="X88" s="114"/>
      <c r="Y88" s="115"/>
      <c r="Z88" s="116"/>
      <c r="AA88" s="114">
        <v>3</v>
      </c>
      <c r="AB88" s="115">
        <v>12</v>
      </c>
      <c r="AC88" s="116"/>
      <c r="AD88" s="114">
        <v>23</v>
      </c>
      <c r="AE88" s="115">
        <v>92</v>
      </c>
      <c r="AF88" s="116"/>
      <c r="AG88" s="90">
        <v>25</v>
      </c>
      <c r="AH88" s="35">
        <v>100</v>
      </c>
      <c r="AI88" s="36">
        <v>1</v>
      </c>
      <c r="AJ88" s="90">
        <v>26</v>
      </c>
      <c r="AK88" s="35">
        <v>99</v>
      </c>
      <c r="AL88" s="36">
        <v>2</v>
      </c>
      <c r="AM88" s="90">
        <v>24</v>
      </c>
      <c r="AN88" s="35">
        <v>88</v>
      </c>
      <c r="AO88" s="36"/>
      <c r="AP88" s="90">
        <v>25</v>
      </c>
      <c r="AQ88" s="72">
        <v>96</v>
      </c>
      <c r="AR88" s="73">
        <v>2</v>
      </c>
      <c r="AS88" s="37">
        <f t="shared" si="2"/>
        <v>126</v>
      </c>
      <c r="AT88" s="38">
        <f t="shared" si="2"/>
        <v>487</v>
      </c>
      <c r="AU88" s="38">
        <f t="shared" si="2"/>
        <v>5</v>
      </c>
      <c r="AV88" s="85" t="s">
        <v>250</v>
      </c>
    </row>
    <row r="89" spans="1:48">
      <c r="A89" s="13">
        <v>85</v>
      </c>
      <c r="B89" s="241" t="s">
        <v>30</v>
      </c>
      <c r="C89" s="241" t="s">
        <v>238</v>
      </c>
      <c r="D89" s="14" t="s">
        <v>233</v>
      </c>
      <c r="E89" s="65" t="s">
        <v>218</v>
      </c>
      <c r="F89" s="79">
        <v>244194</v>
      </c>
      <c r="G89" s="32" t="s">
        <v>49</v>
      </c>
      <c r="H89" s="207"/>
      <c r="I89" s="19"/>
      <c r="J89" s="19"/>
      <c r="K89" s="60"/>
      <c r="L89" s="57"/>
      <c r="M89" s="58"/>
      <c r="N89" s="45"/>
      <c r="O89" s="25"/>
      <c r="P89" s="76"/>
      <c r="Q89" s="77"/>
      <c r="R89" s="51"/>
      <c r="S89" s="52"/>
      <c r="T89" s="53"/>
      <c r="U89" s="66"/>
      <c r="V89" s="67"/>
      <c r="W89" s="68"/>
      <c r="X89" s="114"/>
      <c r="Y89" s="115"/>
      <c r="Z89" s="116"/>
      <c r="AA89" s="114">
        <v>3</v>
      </c>
      <c r="AB89" s="115">
        <v>12</v>
      </c>
      <c r="AC89" s="116"/>
      <c r="AD89" s="114">
        <v>25</v>
      </c>
      <c r="AE89" s="115">
        <v>100</v>
      </c>
      <c r="AF89" s="116">
        <v>6</v>
      </c>
      <c r="AG89" s="90">
        <v>26</v>
      </c>
      <c r="AH89" s="35">
        <v>106</v>
      </c>
      <c r="AI89" s="36">
        <v>3</v>
      </c>
      <c r="AJ89" s="90">
        <v>24</v>
      </c>
      <c r="AK89" s="35">
        <v>96</v>
      </c>
      <c r="AL89" s="36">
        <v>4</v>
      </c>
      <c r="AM89" s="90">
        <v>24</v>
      </c>
      <c r="AN89" s="35">
        <v>88</v>
      </c>
      <c r="AO89" s="36">
        <v>3</v>
      </c>
      <c r="AP89" s="90">
        <v>25</v>
      </c>
      <c r="AQ89" s="72">
        <v>96</v>
      </c>
      <c r="AR89" s="73">
        <v>4</v>
      </c>
      <c r="AS89" s="37">
        <f t="shared" si="2"/>
        <v>127</v>
      </c>
      <c r="AT89" s="38">
        <f t="shared" si="2"/>
        <v>498</v>
      </c>
      <c r="AU89" s="38">
        <f t="shared" si="2"/>
        <v>20</v>
      </c>
      <c r="AV89" s="85" t="s">
        <v>250</v>
      </c>
    </row>
    <row r="90" spans="1:48">
      <c r="A90" s="13">
        <v>86</v>
      </c>
      <c r="B90" s="241" t="s">
        <v>26</v>
      </c>
      <c r="C90" s="241" t="s">
        <v>239</v>
      </c>
      <c r="D90" s="14" t="s">
        <v>234</v>
      </c>
      <c r="E90" s="65" t="s">
        <v>218</v>
      </c>
      <c r="F90" s="79">
        <v>244197</v>
      </c>
      <c r="G90" s="32" t="s">
        <v>126</v>
      </c>
      <c r="H90" s="207"/>
      <c r="I90" s="19"/>
      <c r="J90" s="19"/>
      <c r="K90" s="60"/>
      <c r="L90" s="57"/>
      <c r="M90" s="58"/>
      <c r="N90" s="45"/>
      <c r="O90" s="25"/>
      <c r="P90" s="76"/>
      <c r="Q90" s="77"/>
      <c r="R90" s="51"/>
      <c r="S90" s="52"/>
      <c r="T90" s="53"/>
      <c r="U90" s="66"/>
      <c r="V90" s="67"/>
      <c r="W90" s="68"/>
      <c r="X90" s="114"/>
      <c r="Y90" s="115"/>
      <c r="Z90" s="116"/>
      <c r="AA90" s="114"/>
      <c r="AB90" s="115"/>
      <c r="AC90" s="116"/>
      <c r="AD90" s="114">
        <v>25</v>
      </c>
      <c r="AE90" s="115">
        <v>96</v>
      </c>
      <c r="AF90" s="116">
        <v>3</v>
      </c>
      <c r="AG90" s="90">
        <v>26</v>
      </c>
      <c r="AH90" s="35">
        <v>102</v>
      </c>
      <c r="AI90" s="36">
        <v>2</v>
      </c>
      <c r="AJ90" s="90">
        <v>26</v>
      </c>
      <c r="AK90" s="35">
        <v>87</v>
      </c>
      <c r="AL90" s="36">
        <v>1</v>
      </c>
      <c r="AM90" s="90">
        <v>23</v>
      </c>
      <c r="AN90" s="35">
        <v>56</v>
      </c>
      <c r="AO90" s="36"/>
      <c r="AP90" s="90">
        <v>25</v>
      </c>
      <c r="AQ90" s="72">
        <v>84</v>
      </c>
      <c r="AR90" s="73">
        <v>3</v>
      </c>
      <c r="AS90" s="37">
        <f t="shared" si="2"/>
        <v>125</v>
      </c>
      <c r="AT90" s="38">
        <f t="shared" si="2"/>
        <v>425</v>
      </c>
      <c r="AU90" s="38">
        <f t="shared" si="2"/>
        <v>9</v>
      </c>
      <c r="AV90" s="85" t="s">
        <v>250</v>
      </c>
    </row>
    <row r="91" spans="1:48">
      <c r="A91" s="13">
        <v>87</v>
      </c>
      <c r="B91" s="241" t="s">
        <v>26</v>
      </c>
      <c r="C91" s="241" t="s">
        <v>240</v>
      </c>
      <c r="D91" s="14" t="s">
        <v>116</v>
      </c>
      <c r="E91" s="65" t="s">
        <v>218</v>
      </c>
      <c r="F91" s="79">
        <v>244197</v>
      </c>
      <c r="G91" s="32" t="s">
        <v>126</v>
      </c>
      <c r="H91" s="207"/>
      <c r="I91" s="19"/>
      <c r="J91" s="19"/>
      <c r="K91" s="60"/>
      <c r="L91" s="57"/>
      <c r="M91" s="58"/>
      <c r="N91" s="45"/>
      <c r="O91" s="25"/>
      <c r="P91" s="76"/>
      <c r="Q91" s="77"/>
      <c r="R91" s="51"/>
      <c r="S91" s="52"/>
      <c r="T91" s="53"/>
      <c r="U91" s="66"/>
      <c r="V91" s="67"/>
      <c r="W91" s="68"/>
      <c r="X91" s="114"/>
      <c r="Y91" s="115"/>
      <c r="Z91" s="116"/>
      <c r="AA91" s="114"/>
      <c r="AB91" s="115"/>
      <c r="AC91" s="116"/>
      <c r="AD91" s="114">
        <v>25</v>
      </c>
      <c r="AE91" s="115">
        <v>100</v>
      </c>
      <c r="AF91" s="116">
        <v>6</v>
      </c>
      <c r="AG91" s="90">
        <v>25.5</v>
      </c>
      <c r="AH91" s="35">
        <v>100</v>
      </c>
      <c r="AI91" s="36">
        <v>3</v>
      </c>
      <c r="AJ91" s="90">
        <v>25</v>
      </c>
      <c r="AK91" s="35">
        <v>91</v>
      </c>
      <c r="AL91" s="36">
        <v>2</v>
      </c>
      <c r="AM91" s="90">
        <v>24</v>
      </c>
      <c r="AN91" s="35">
        <v>96</v>
      </c>
      <c r="AO91" s="36">
        <v>4</v>
      </c>
      <c r="AP91" s="90">
        <v>25</v>
      </c>
      <c r="AQ91" s="72">
        <v>96</v>
      </c>
      <c r="AR91" s="73">
        <v>4</v>
      </c>
      <c r="AS91" s="37">
        <f t="shared" si="2"/>
        <v>124.5</v>
      </c>
      <c r="AT91" s="38">
        <f t="shared" si="2"/>
        <v>483</v>
      </c>
      <c r="AU91" s="38">
        <f t="shared" si="2"/>
        <v>19</v>
      </c>
      <c r="AV91" s="85" t="s">
        <v>250</v>
      </c>
    </row>
    <row r="92" spans="1:48">
      <c r="A92" s="13">
        <v>88</v>
      </c>
      <c r="B92" s="241" t="s">
        <v>26</v>
      </c>
      <c r="C92" s="241" t="s">
        <v>241</v>
      </c>
      <c r="D92" s="14" t="s">
        <v>235</v>
      </c>
      <c r="E92" s="65" t="s">
        <v>218</v>
      </c>
      <c r="F92" s="79">
        <v>244201</v>
      </c>
      <c r="G92" s="32" t="s">
        <v>126</v>
      </c>
      <c r="H92" s="207"/>
      <c r="I92" s="19"/>
      <c r="J92" s="19"/>
      <c r="K92" s="60"/>
      <c r="L92" s="57"/>
      <c r="M92" s="58"/>
      <c r="N92" s="45"/>
      <c r="O92" s="25"/>
      <c r="P92" s="76"/>
      <c r="Q92" s="77"/>
      <c r="R92" s="51"/>
      <c r="S92" s="52"/>
      <c r="T92" s="53"/>
      <c r="U92" s="66"/>
      <c r="V92" s="67"/>
      <c r="W92" s="68"/>
      <c r="X92" s="66"/>
      <c r="Y92" s="67"/>
      <c r="Z92" s="68"/>
      <c r="AA92" s="66"/>
      <c r="AB92" s="67"/>
      <c r="AC92" s="68"/>
      <c r="AD92" s="66">
        <v>22</v>
      </c>
      <c r="AE92" s="67">
        <v>84</v>
      </c>
      <c r="AF92" s="68"/>
      <c r="AG92" s="57">
        <v>25</v>
      </c>
      <c r="AH92" s="58">
        <v>102</v>
      </c>
      <c r="AI92" s="45"/>
      <c r="AJ92" s="57">
        <v>24</v>
      </c>
      <c r="AK92" s="58">
        <v>87</v>
      </c>
      <c r="AL92" s="45"/>
      <c r="AM92" s="57">
        <v>24</v>
      </c>
      <c r="AN92" s="58">
        <v>88</v>
      </c>
      <c r="AO92" s="45"/>
      <c r="AP92" s="57">
        <v>25</v>
      </c>
      <c r="AQ92" s="72">
        <v>88</v>
      </c>
      <c r="AR92" s="73"/>
      <c r="AS92" s="37">
        <f t="shared" si="2"/>
        <v>120</v>
      </c>
      <c r="AT92" s="38">
        <f t="shared" si="2"/>
        <v>449</v>
      </c>
      <c r="AU92" s="38">
        <f t="shared" si="2"/>
        <v>0</v>
      </c>
      <c r="AV92" s="85" t="s">
        <v>250</v>
      </c>
    </row>
    <row r="93" spans="1:48">
      <c r="A93" s="13">
        <v>89</v>
      </c>
      <c r="B93" s="241" t="s">
        <v>26</v>
      </c>
      <c r="C93" s="241" t="s">
        <v>242</v>
      </c>
      <c r="D93" s="14" t="s">
        <v>178</v>
      </c>
      <c r="E93" s="118">
        <v>348</v>
      </c>
      <c r="F93" s="79">
        <v>244235</v>
      </c>
      <c r="G93" s="32" t="s">
        <v>126</v>
      </c>
      <c r="H93" s="207"/>
      <c r="I93" s="19"/>
      <c r="J93" s="19"/>
      <c r="K93" s="60"/>
      <c r="L93" s="57"/>
      <c r="M93" s="58"/>
      <c r="N93" s="45"/>
      <c r="O93" s="25"/>
      <c r="P93" s="76"/>
      <c r="Q93" s="77"/>
      <c r="R93" s="51"/>
      <c r="S93" s="52"/>
      <c r="T93" s="53"/>
      <c r="U93" s="66"/>
      <c r="V93" s="67"/>
      <c r="W93" s="68"/>
      <c r="X93" s="114"/>
      <c r="Y93" s="115"/>
      <c r="Z93" s="116"/>
      <c r="AA93" s="114"/>
      <c r="AB93" s="115"/>
      <c r="AC93" s="116"/>
      <c r="AD93" s="114"/>
      <c r="AE93" s="115"/>
      <c r="AF93" s="116"/>
      <c r="AG93" s="90">
        <v>20</v>
      </c>
      <c r="AH93" s="35">
        <v>82</v>
      </c>
      <c r="AI93" s="36">
        <v>2</v>
      </c>
      <c r="AJ93" s="90">
        <v>25</v>
      </c>
      <c r="AK93" s="35">
        <v>95</v>
      </c>
      <c r="AL93" s="36">
        <v>2</v>
      </c>
      <c r="AM93" s="90">
        <v>24</v>
      </c>
      <c r="AN93" s="35">
        <v>96</v>
      </c>
      <c r="AO93" s="36">
        <v>3</v>
      </c>
      <c r="AP93" s="90">
        <v>25</v>
      </c>
      <c r="AQ93" s="35">
        <v>80</v>
      </c>
      <c r="AR93" s="36"/>
      <c r="AS93" s="37">
        <f t="shared" si="2"/>
        <v>94</v>
      </c>
      <c r="AT93" s="38">
        <f t="shared" si="2"/>
        <v>353</v>
      </c>
      <c r="AU93" s="38">
        <f t="shared" si="2"/>
        <v>7</v>
      </c>
      <c r="AV93" s="85" t="s">
        <v>250</v>
      </c>
    </row>
    <row r="94" spans="1:48">
      <c r="A94" s="175"/>
      <c r="B94" s="240"/>
      <c r="C94" s="170"/>
      <c r="D94" s="107"/>
      <c r="E94" s="118"/>
      <c r="F94" s="79"/>
      <c r="G94" s="32"/>
      <c r="H94" s="207"/>
      <c r="I94" s="19"/>
      <c r="J94" s="19"/>
      <c r="K94" s="60"/>
      <c r="L94" s="57"/>
      <c r="M94" s="58"/>
      <c r="N94" s="45"/>
      <c r="O94" s="25"/>
      <c r="P94" s="76"/>
      <c r="Q94" s="77"/>
      <c r="R94" s="51"/>
      <c r="S94" s="52"/>
      <c r="T94" s="53"/>
      <c r="U94" s="66"/>
      <c r="V94" s="67"/>
      <c r="W94" s="68"/>
      <c r="X94" s="66"/>
      <c r="Y94" s="67"/>
      <c r="Z94" s="68"/>
      <c r="AA94" s="66"/>
      <c r="AB94" s="67"/>
      <c r="AC94" s="68"/>
      <c r="AD94" s="66"/>
      <c r="AE94" s="67"/>
      <c r="AF94" s="68"/>
      <c r="AG94" s="57"/>
      <c r="AH94" s="58"/>
      <c r="AI94" s="45"/>
      <c r="AJ94" s="57"/>
      <c r="AK94" s="58"/>
      <c r="AL94" s="45"/>
      <c r="AM94" s="57"/>
      <c r="AN94" s="58"/>
      <c r="AO94" s="45"/>
      <c r="AP94" s="57"/>
      <c r="AQ94" s="72"/>
      <c r="AR94" s="73"/>
      <c r="AS94" s="37">
        <f t="shared" si="2"/>
        <v>0</v>
      </c>
      <c r="AT94" s="38">
        <f t="shared" si="2"/>
        <v>0</v>
      </c>
      <c r="AU94" s="38">
        <f t="shared" si="2"/>
        <v>0</v>
      </c>
    </row>
    <row r="95" spans="1:48">
      <c r="A95" s="175"/>
      <c r="B95" s="240"/>
      <c r="C95" s="174"/>
      <c r="D95" s="14"/>
      <c r="E95" s="118"/>
      <c r="F95" s="79"/>
      <c r="G95" s="32"/>
      <c r="H95" s="207"/>
      <c r="I95" s="19"/>
      <c r="J95" s="19"/>
      <c r="K95" s="60"/>
      <c r="L95" s="57"/>
      <c r="M95" s="58"/>
      <c r="N95" s="45"/>
      <c r="O95" s="25"/>
      <c r="P95" s="76"/>
      <c r="Q95" s="77"/>
      <c r="R95" s="51"/>
      <c r="S95" s="52"/>
      <c r="T95" s="53"/>
      <c r="U95" s="66"/>
      <c r="V95" s="67"/>
      <c r="W95" s="68"/>
      <c r="X95" s="114"/>
      <c r="Y95" s="115"/>
      <c r="Z95" s="116"/>
      <c r="AA95" s="114"/>
      <c r="AB95" s="115"/>
      <c r="AC95" s="116"/>
      <c r="AD95" s="114"/>
      <c r="AE95" s="115"/>
      <c r="AF95" s="116"/>
      <c r="AG95" s="90"/>
      <c r="AH95" s="35"/>
      <c r="AI95" s="36"/>
      <c r="AJ95" s="90"/>
      <c r="AK95" s="35"/>
      <c r="AL95" s="36"/>
      <c r="AM95" s="90"/>
      <c r="AN95" s="35"/>
      <c r="AO95" s="36"/>
      <c r="AP95" s="90"/>
      <c r="AQ95" s="58"/>
      <c r="AR95" s="45"/>
      <c r="AS95" s="37">
        <f t="shared" si="2"/>
        <v>0</v>
      </c>
      <c r="AT95" s="38">
        <f t="shared" si="2"/>
        <v>0</v>
      </c>
      <c r="AU95" s="38">
        <f t="shared" si="2"/>
        <v>0</v>
      </c>
    </row>
    <row r="96" spans="1:48">
      <c r="A96" s="175"/>
      <c r="B96" s="240"/>
      <c r="C96" s="170"/>
      <c r="D96" s="107"/>
      <c r="E96" s="65"/>
      <c r="F96" s="79"/>
      <c r="G96" s="117"/>
      <c r="H96" s="207"/>
      <c r="I96" s="19"/>
      <c r="J96" s="19"/>
      <c r="K96" s="60"/>
      <c r="L96" s="57"/>
      <c r="M96" s="58"/>
      <c r="N96" s="45"/>
      <c r="O96" s="25"/>
      <c r="P96" s="19"/>
      <c r="Q96" s="60"/>
      <c r="R96" s="51"/>
      <c r="S96" s="52"/>
      <c r="T96" s="53"/>
      <c r="U96" s="66"/>
      <c r="V96" s="67"/>
      <c r="W96" s="68"/>
      <c r="X96" s="66"/>
      <c r="Y96" s="67"/>
      <c r="Z96" s="68"/>
      <c r="AA96" s="66"/>
      <c r="AB96" s="67"/>
      <c r="AC96" s="68"/>
      <c r="AD96" s="66"/>
      <c r="AE96" s="67"/>
      <c r="AF96" s="68"/>
      <c r="AG96" s="57"/>
      <c r="AH96" s="58"/>
      <c r="AI96" s="45"/>
      <c r="AJ96" s="57"/>
      <c r="AK96" s="58"/>
      <c r="AL96" s="45"/>
      <c r="AM96" s="57"/>
      <c r="AN96" s="58"/>
      <c r="AO96" s="45"/>
      <c r="AP96" s="57"/>
      <c r="AQ96" s="58"/>
      <c r="AR96" s="45"/>
      <c r="AS96" s="37">
        <f t="shared" si="2"/>
        <v>0</v>
      </c>
      <c r="AT96" s="38">
        <f t="shared" si="2"/>
        <v>0</v>
      </c>
      <c r="AU96" s="38">
        <f t="shared" si="2"/>
        <v>0</v>
      </c>
    </row>
    <row r="97" spans="1:47">
      <c r="A97" s="175"/>
      <c r="B97" s="240"/>
      <c r="C97" s="174"/>
      <c r="D97" s="14"/>
      <c r="E97" s="91"/>
      <c r="F97" s="79"/>
      <c r="G97" s="117"/>
      <c r="H97" s="207"/>
      <c r="I97" s="19"/>
      <c r="J97" s="19"/>
      <c r="K97" s="60"/>
      <c r="L97" s="57"/>
      <c r="M97" s="58"/>
      <c r="N97" s="45"/>
      <c r="O97" s="25"/>
      <c r="P97" s="19"/>
      <c r="Q97" s="60"/>
      <c r="R97" s="51"/>
      <c r="S97" s="52"/>
      <c r="T97" s="53"/>
      <c r="U97" s="66"/>
      <c r="V97" s="67"/>
      <c r="W97" s="68"/>
      <c r="X97" s="114"/>
      <c r="Y97" s="115"/>
      <c r="Z97" s="116"/>
      <c r="AA97" s="114"/>
      <c r="AB97" s="115"/>
      <c r="AC97" s="116"/>
      <c r="AD97" s="114"/>
      <c r="AE97" s="115"/>
      <c r="AF97" s="116"/>
      <c r="AG97" s="90"/>
      <c r="AH97" s="35"/>
      <c r="AI97" s="36"/>
      <c r="AJ97" s="90"/>
      <c r="AK97" s="35"/>
      <c r="AL97" s="36"/>
      <c r="AM97" s="90"/>
      <c r="AN97" s="35"/>
      <c r="AO97" s="36"/>
      <c r="AP97" s="90"/>
      <c r="AQ97" s="58"/>
      <c r="AR97" s="45"/>
      <c r="AS97" s="37">
        <f t="shared" si="2"/>
        <v>0</v>
      </c>
      <c r="AT97" s="38">
        <f t="shared" si="2"/>
        <v>0</v>
      </c>
      <c r="AU97" s="38">
        <f t="shared" si="2"/>
        <v>0</v>
      </c>
    </row>
    <row r="98" spans="1:47">
      <c r="A98" s="175"/>
      <c r="B98" s="240"/>
      <c r="C98" s="174"/>
      <c r="D98" s="14"/>
      <c r="E98" s="91"/>
      <c r="F98" s="79"/>
      <c r="G98" s="117"/>
      <c r="H98" s="208"/>
      <c r="I98" s="19"/>
      <c r="J98" s="19"/>
      <c r="K98" s="60"/>
      <c r="L98" s="57"/>
      <c r="M98" s="58"/>
      <c r="N98" s="45"/>
      <c r="O98" s="25"/>
      <c r="P98" s="43"/>
      <c r="Q98" s="47"/>
      <c r="R98" s="51"/>
      <c r="S98" s="52"/>
      <c r="T98" s="53"/>
      <c r="U98" s="66"/>
      <c r="V98" s="67"/>
      <c r="W98" s="68"/>
      <c r="X98" s="66"/>
      <c r="Y98" s="67"/>
      <c r="Z98" s="68"/>
      <c r="AA98" s="66"/>
      <c r="AB98" s="67"/>
      <c r="AC98" s="68"/>
      <c r="AD98" s="66"/>
      <c r="AE98" s="67"/>
      <c r="AF98" s="68"/>
      <c r="AG98" s="57"/>
      <c r="AH98" s="58"/>
      <c r="AI98" s="45"/>
      <c r="AJ98" s="57"/>
      <c r="AK98" s="58"/>
      <c r="AL98" s="45"/>
      <c r="AM98" s="57"/>
      <c r="AN98" s="58"/>
      <c r="AO98" s="45"/>
      <c r="AP98" s="57"/>
      <c r="AQ98" s="35"/>
      <c r="AR98" s="36"/>
      <c r="AS98" s="37">
        <f t="shared" si="2"/>
        <v>0</v>
      </c>
      <c r="AT98" s="38">
        <f t="shared" si="2"/>
        <v>0</v>
      </c>
      <c r="AU98" s="38">
        <f t="shared" si="2"/>
        <v>0</v>
      </c>
    </row>
    <row r="99" spans="1:47">
      <c r="A99" s="175"/>
      <c r="B99" s="240"/>
      <c r="C99" s="170"/>
      <c r="D99" s="107"/>
      <c r="E99" s="91"/>
      <c r="F99" s="79"/>
      <c r="G99" s="176"/>
      <c r="H99" s="3"/>
      <c r="I99" s="19"/>
      <c r="J99" s="19"/>
      <c r="K99" s="60"/>
      <c r="L99" s="57"/>
      <c r="M99" s="58"/>
      <c r="N99" s="45"/>
      <c r="O99" s="25"/>
      <c r="P99" s="76"/>
      <c r="Q99" s="77"/>
      <c r="R99" s="51"/>
      <c r="S99" s="52"/>
      <c r="T99" s="53"/>
      <c r="U99" s="66"/>
      <c r="V99" s="67"/>
      <c r="W99" s="68"/>
      <c r="X99" s="90"/>
      <c r="Y99" s="35"/>
      <c r="Z99" s="36"/>
      <c r="AA99" s="90"/>
      <c r="AB99" s="35"/>
      <c r="AC99" s="36"/>
      <c r="AD99" s="90"/>
      <c r="AE99" s="35"/>
      <c r="AF99" s="36"/>
      <c r="AG99" s="90"/>
      <c r="AH99" s="35"/>
      <c r="AI99" s="36"/>
      <c r="AJ99" s="90"/>
      <c r="AK99" s="35"/>
      <c r="AL99" s="36"/>
      <c r="AM99" s="90"/>
      <c r="AN99" s="35"/>
      <c r="AO99" s="36"/>
      <c r="AP99" s="90"/>
      <c r="AQ99" s="58"/>
      <c r="AR99" s="45"/>
      <c r="AS99" s="37">
        <f t="shared" si="2"/>
        <v>0</v>
      </c>
      <c r="AT99" s="38">
        <f t="shared" si="2"/>
        <v>0</v>
      </c>
      <c r="AU99" s="38">
        <f t="shared" si="2"/>
        <v>0</v>
      </c>
    </row>
    <row r="100" spans="1:47">
      <c r="A100" s="175"/>
      <c r="B100" s="240"/>
      <c r="C100" s="170"/>
      <c r="D100" s="107"/>
      <c r="E100" s="65"/>
      <c r="F100" s="79"/>
      <c r="G100" s="117"/>
      <c r="H100" s="206"/>
      <c r="I100" s="19"/>
      <c r="J100" s="19"/>
      <c r="K100" s="60"/>
      <c r="L100" s="57"/>
      <c r="M100" s="58"/>
      <c r="N100" s="45"/>
      <c r="O100" s="25"/>
      <c r="P100" s="76"/>
      <c r="Q100" s="77"/>
      <c r="R100" s="51"/>
      <c r="S100" s="52"/>
      <c r="T100" s="53"/>
      <c r="U100" s="66"/>
      <c r="V100" s="67"/>
      <c r="W100" s="68"/>
      <c r="X100" s="69"/>
      <c r="Y100" s="71"/>
      <c r="Z100" s="70"/>
      <c r="AA100" s="69"/>
      <c r="AB100" s="71"/>
      <c r="AC100" s="70"/>
      <c r="AD100" s="69"/>
      <c r="AE100" s="71"/>
      <c r="AF100" s="70"/>
      <c r="AG100" s="57"/>
      <c r="AH100" s="58"/>
      <c r="AI100" s="45"/>
      <c r="AJ100" s="57"/>
      <c r="AK100" s="58"/>
      <c r="AL100" s="45"/>
      <c r="AM100" s="57"/>
      <c r="AN100" s="58"/>
      <c r="AO100" s="45"/>
      <c r="AP100" s="57"/>
      <c r="AQ100" s="35"/>
      <c r="AR100" s="36"/>
      <c r="AS100" s="37">
        <f t="shared" si="2"/>
        <v>0</v>
      </c>
      <c r="AT100" s="38">
        <f t="shared" si="2"/>
        <v>0</v>
      </c>
      <c r="AU100" s="38">
        <f t="shared" si="2"/>
        <v>0</v>
      </c>
    </row>
    <row r="101" spans="1:47">
      <c r="A101" s="175"/>
      <c r="B101" s="240"/>
      <c r="C101" s="170"/>
      <c r="D101" s="107"/>
      <c r="E101" s="65"/>
      <c r="F101" s="79"/>
      <c r="G101" s="117"/>
      <c r="H101" s="172"/>
      <c r="I101" s="19"/>
      <c r="J101" s="19"/>
      <c r="K101" s="60"/>
      <c r="L101" s="57"/>
      <c r="M101" s="58"/>
      <c r="N101" s="45"/>
      <c r="O101" s="25"/>
      <c r="P101" s="76"/>
      <c r="Q101" s="77"/>
      <c r="R101" s="51"/>
      <c r="S101" s="52"/>
      <c r="T101" s="53"/>
      <c r="U101" s="66"/>
      <c r="V101" s="67"/>
      <c r="W101" s="68"/>
      <c r="X101" s="82"/>
      <c r="Y101" s="84"/>
      <c r="Z101" s="83"/>
      <c r="AA101" s="82"/>
      <c r="AB101" s="84"/>
      <c r="AC101" s="83"/>
      <c r="AD101" s="82"/>
      <c r="AE101" s="84"/>
      <c r="AF101" s="83"/>
      <c r="AG101" s="78"/>
      <c r="AH101" s="23"/>
      <c r="AI101" s="24"/>
      <c r="AJ101" s="78"/>
      <c r="AK101" s="23"/>
      <c r="AL101" s="24"/>
      <c r="AM101" s="78"/>
      <c r="AN101" s="23"/>
      <c r="AO101" s="24"/>
      <c r="AP101" s="78"/>
      <c r="AQ101" s="72"/>
      <c r="AR101" s="73"/>
      <c r="AS101" s="37">
        <f t="shared" si="2"/>
        <v>0</v>
      </c>
      <c r="AT101" s="38">
        <f t="shared" si="2"/>
        <v>0</v>
      </c>
      <c r="AU101" s="38">
        <f t="shared" si="2"/>
        <v>0</v>
      </c>
    </row>
    <row r="102" spans="1:47">
      <c r="A102" s="175"/>
      <c r="B102" s="240"/>
      <c r="C102" s="170"/>
      <c r="D102" s="107"/>
      <c r="E102" s="65"/>
      <c r="F102" s="79"/>
      <c r="G102" s="117"/>
      <c r="H102" s="172"/>
      <c r="I102" s="19"/>
      <c r="J102" s="19"/>
      <c r="K102" s="60"/>
      <c r="L102" s="57"/>
      <c r="M102" s="58"/>
      <c r="N102" s="45"/>
      <c r="O102" s="25"/>
      <c r="P102" s="76"/>
      <c r="Q102" s="77"/>
      <c r="R102" s="51"/>
      <c r="S102" s="52"/>
      <c r="T102" s="53"/>
      <c r="U102" s="66"/>
      <c r="V102" s="67"/>
      <c r="W102" s="68"/>
      <c r="X102" s="87"/>
      <c r="Y102" s="89"/>
      <c r="Z102" s="88"/>
      <c r="AA102" s="87"/>
      <c r="AB102" s="89"/>
      <c r="AC102" s="88"/>
      <c r="AD102" s="87"/>
      <c r="AE102" s="89"/>
      <c r="AF102" s="88"/>
      <c r="AG102" s="90"/>
      <c r="AH102" s="35"/>
      <c r="AI102" s="36"/>
      <c r="AJ102" s="90"/>
      <c r="AK102" s="35"/>
      <c r="AL102" s="36"/>
      <c r="AM102" s="90"/>
      <c r="AN102" s="35"/>
      <c r="AO102" s="36"/>
      <c r="AP102" s="90"/>
      <c r="AQ102" s="72"/>
      <c r="AR102" s="73"/>
      <c r="AS102" s="37">
        <f t="shared" si="2"/>
        <v>0</v>
      </c>
      <c r="AT102" s="38">
        <f t="shared" si="2"/>
        <v>0</v>
      </c>
      <c r="AU102" s="38">
        <f t="shared" si="2"/>
        <v>0</v>
      </c>
    </row>
    <row r="103" spans="1:47">
      <c r="A103" s="175"/>
      <c r="B103" s="240"/>
      <c r="C103" s="170"/>
      <c r="D103" s="107"/>
      <c r="E103" s="65"/>
      <c r="F103" s="79"/>
      <c r="G103" s="117"/>
      <c r="H103" s="206"/>
      <c r="I103" s="19"/>
      <c r="J103" s="19"/>
      <c r="K103" s="60"/>
      <c r="L103" s="57"/>
      <c r="M103" s="58"/>
      <c r="N103" s="45"/>
      <c r="O103" s="25"/>
      <c r="P103" s="19"/>
      <c r="Q103" s="60"/>
      <c r="R103" s="51"/>
      <c r="S103" s="52"/>
      <c r="T103" s="53"/>
      <c r="U103" s="66"/>
      <c r="V103" s="67"/>
      <c r="W103" s="68"/>
      <c r="X103" s="54"/>
      <c r="Y103" s="55"/>
      <c r="Z103" s="56"/>
      <c r="AA103" s="54"/>
      <c r="AB103" s="55"/>
      <c r="AC103" s="56"/>
      <c r="AD103" s="54"/>
      <c r="AE103" s="55"/>
      <c r="AF103" s="56"/>
      <c r="AG103" s="57"/>
      <c r="AH103" s="58"/>
      <c r="AI103" s="45"/>
      <c r="AJ103" s="57"/>
      <c r="AK103" s="58"/>
      <c r="AL103" s="45"/>
      <c r="AM103" s="57"/>
      <c r="AN103" s="58"/>
      <c r="AO103" s="45"/>
      <c r="AP103" s="57"/>
      <c r="AQ103" s="72"/>
      <c r="AR103" s="73"/>
      <c r="AS103" s="37">
        <f t="shared" si="2"/>
        <v>0</v>
      </c>
      <c r="AT103" s="38">
        <f t="shared" si="2"/>
        <v>0</v>
      </c>
      <c r="AU103" s="38">
        <f t="shared" si="2"/>
        <v>0</v>
      </c>
    </row>
    <row r="104" spans="1:47">
      <c r="A104" s="177"/>
      <c r="B104" s="178"/>
      <c r="C104" s="179"/>
      <c r="D104" s="180"/>
      <c r="E104" s="181"/>
      <c r="F104" s="182"/>
      <c r="G104" s="183"/>
      <c r="H104" s="184"/>
      <c r="I104" s="185"/>
      <c r="J104" s="209"/>
      <c r="K104" s="210"/>
      <c r="L104" s="186"/>
      <c r="M104" s="187"/>
      <c r="N104" s="188"/>
      <c r="O104" s="189"/>
      <c r="P104" s="190"/>
      <c r="Q104" s="191"/>
      <c r="R104" s="192"/>
      <c r="S104" s="193"/>
      <c r="T104" s="194"/>
      <c r="U104" s="189"/>
      <c r="V104" s="190"/>
      <c r="W104" s="191"/>
      <c r="X104" s="195"/>
      <c r="Y104" s="196"/>
      <c r="Z104" s="197"/>
      <c r="AA104" s="195"/>
      <c r="AB104" s="196"/>
      <c r="AC104" s="197"/>
      <c r="AD104" s="195"/>
      <c r="AE104" s="196"/>
      <c r="AF104" s="197"/>
      <c r="AG104" s="186"/>
      <c r="AH104" s="187"/>
      <c r="AI104" s="188"/>
      <c r="AJ104" s="186"/>
      <c r="AK104" s="187"/>
      <c r="AL104" s="188"/>
      <c r="AM104" s="186"/>
      <c r="AN104" s="187"/>
      <c r="AO104" s="188"/>
      <c r="AP104" s="186"/>
      <c r="AQ104" s="187"/>
      <c r="AR104" s="188"/>
      <c r="AS104" s="37">
        <f t="shared" si="2"/>
        <v>0</v>
      </c>
      <c r="AT104" s="38">
        <f t="shared" si="2"/>
        <v>0</v>
      </c>
      <c r="AU104" s="38">
        <f t="shared" si="2"/>
        <v>0</v>
      </c>
    </row>
    <row r="105" spans="1:47">
      <c r="A105" s="178"/>
      <c r="B105" s="178"/>
      <c r="C105" s="198"/>
      <c r="G105" s="183"/>
      <c r="N105" s="199"/>
      <c r="W105" s="199"/>
    </row>
    <row r="106" spans="1:47">
      <c r="C106" s="198"/>
      <c r="G106" s="183"/>
    </row>
    <row r="107" spans="1:47">
      <c r="C107" s="198"/>
      <c r="G107" s="183"/>
    </row>
    <row r="108" spans="1:47">
      <c r="C108" s="198"/>
      <c r="G108" s="183"/>
    </row>
    <row r="109" spans="1:47">
      <c r="C109" s="198"/>
      <c r="G109" s="183"/>
    </row>
    <row r="110" spans="1:47">
      <c r="C110" s="198"/>
      <c r="G110" s="183"/>
    </row>
    <row r="111" spans="1:47">
      <c r="C111" s="198"/>
      <c r="G111" s="183"/>
    </row>
    <row r="112" spans="1:47">
      <c r="C112" s="198"/>
      <c r="G112" s="183"/>
    </row>
    <row r="113" spans="3:7">
      <c r="C113" s="198"/>
      <c r="G113" s="183"/>
    </row>
    <row r="114" spans="3:7">
      <c r="C114" s="198"/>
      <c r="G114" s="183"/>
    </row>
    <row r="115" spans="3:7">
      <c r="C115" s="198"/>
      <c r="G115" s="183"/>
    </row>
    <row r="116" spans="3:7">
      <c r="C116" s="198"/>
      <c r="G116" s="183"/>
    </row>
    <row r="117" spans="3:7">
      <c r="C117" s="198"/>
      <c r="G117" s="183"/>
    </row>
    <row r="118" spans="3:7">
      <c r="C118" s="198"/>
      <c r="G118" s="183"/>
    </row>
    <row r="119" spans="3:7">
      <c r="C119" s="198"/>
      <c r="G119" s="183"/>
    </row>
    <row r="120" spans="3:7">
      <c r="C120" s="198"/>
      <c r="G120" s="183"/>
    </row>
    <row r="121" spans="3:7">
      <c r="C121" s="198"/>
      <c r="G121" s="183"/>
    </row>
    <row r="122" spans="3:7">
      <c r="C122" s="198"/>
      <c r="G122" s="183"/>
    </row>
    <row r="123" spans="3:7">
      <c r="C123" s="198"/>
      <c r="G123" s="183"/>
    </row>
    <row r="124" spans="3:7">
      <c r="C124" s="198"/>
      <c r="G124" s="183"/>
    </row>
    <row r="125" spans="3:7">
      <c r="C125" s="198"/>
      <c r="G125" s="183"/>
    </row>
    <row r="126" spans="3:7">
      <c r="C126" s="198"/>
      <c r="G126" s="183"/>
    </row>
    <row r="127" spans="3:7">
      <c r="C127" s="198"/>
      <c r="G127" s="183"/>
    </row>
    <row r="128" spans="3:7">
      <c r="C128" s="198"/>
      <c r="G128" s="183"/>
    </row>
    <row r="129" spans="3:7">
      <c r="C129" s="198"/>
      <c r="G129" s="183"/>
    </row>
    <row r="130" spans="3:7">
      <c r="C130" s="198"/>
      <c r="G130" s="183"/>
    </row>
    <row r="131" spans="3:7">
      <c r="C131" s="198"/>
      <c r="G131" s="183"/>
    </row>
    <row r="132" spans="3:7">
      <c r="C132" s="198"/>
      <c r="G132" s="183"/>
    </row>
    <row r="133" spans="3:7">
      <c r="C133" s="198"/>
      <c r="G133" s="183"/>
    </row>
    <row r="134" spans="3:7">
      <c r="C134" s="198"/>
      <c r="G134" s="183"/>
    </row>
    <row r="135" spans="3:7">
      <c r="C135" s="198"/>
      <c r="G135" s="183"/>
    </row>
    <row r="136" spans="3:7">
      <c r="C136" s="198"/>
      <c r="G136" s="183"/>
    </row>
    <row r="137" spans="3:7">
      <c r="C137" s="198"/>
      <c r="G137" s="183"/>
    </row>
    <row r="138" spans="3:7">
      <c r="C138" s="198"/>
    </row>
    <row r="139" spans="3:7">
      <c r="C139" s="198"/>
    </row>
    <row r="140" spans="3:7">
      <c r="C140" s="198"/>
    </row>
    <row r="141" spans="3:7">
      <c r="C141" s="198"/>
    </row>
    <row r="142" spans="3:7">
      <c r="C142" s="198"/>
    </row>
    <row r="143" spans="3:7">
      <c r="C143" s="198"/>
    </row>
    <row r="144" spans="3:7">
      <c r="C144" s="198"/>
    </row>
    <row r="145" spans="3:3">
      <c r="C145" s="198"/>
    </row>
    <row r="146" spans="3:3">
      <c r="C146" s="198"/>
    </row>
    <row r="147" spans="3:3">
      <c r="C147" s="198"/>
    </row>
    <row r="148" spans="3:3">
      <c r="C148" s="198"/>
    </row>
    <row r="149" spans="3:3">
      <c r="C149" s="198"/>
    </row>
    <row r="150" spans="3:3">
      <c r="C150" s="198"/>
    </row>
    <row r="151" spans="3:3">
      <c r="C151" s="198"/>
    </row>
    <row r="152" spans="3:3">
      <c r="C152" s="198"/>
    </row>
    <row r="153" spans="3:3">
      <c r="C153" s="198"/>
    </row>
    <row r="154" spans="3:3">
      <c r="C154" s="198"/>
    </row>
    <row r="155" spans="3:3">
      <c r="C155" s="198"/>
    </row>
    <row r="156" spans="3:3">
      <c r="C156" s="198"/>
    </row>
    <row r="157" spans="3:3">
      <c r="C157" s="198"/>
    </row>
    <row r="158" spans="3:3">
      <c r="C158" s="198"/>
    </row>
    <row r="159" spans="3:3">
      <c r="C159" s="198"/>
    </row>
    <row r="160" spans="3:3">
      <c r="C160" s="198"/>
    </row>
    <row r="161" spans="3:3">
      <c r="C161" s="198"/>
    </row>
    <row r="162" spans="3:3">
      <c r="C162" s="198"/>
    </row>
    <row r="163" spans="3:3">
      <c r="C163" s="198"/>
    </row>
    <row r="164" spans="3:3">
      <c r="C164" s="198"/>
    </row>
    <row r="165" spans="3:3">
      <c r="C165" s="198"/>
    </row>
    <row r="166" spans="3:3">
      <c r="C166" s="198"/>
    </row>
    <row r="167" spans="3:3">
      <c r="C167" s="198"/>
    </row>
    <row r="168" spans="3:3">
      <c r="C168" s="198"/>
    </row>
    <row r="169" spans="3:3">
      <c r="C169" s="198"/>
    </row>
    <row r="170" spans="3:3">
      <c r="C170" s="198"/>
    </row>
    <row r="171" spans="3:3">
      <c r="C171" s="198"/>
    </row>
    <row r="172" spans="3:3">
      <c r="C172" s="198"/>
    </row>
    <row r="173" spans="3:3">
      <c r="C173" s="198"/>
    </row>
    <row r="174" spans="3:3">
      <c r="C174" s="198"/>
    </row>
    <row r="175" spans="3:3">
      <c r="C175" s="198"/>
    </row>
    <row r="176" spans="3:3">
      <c r="C176" s="198"/>
    </row>
    <row r="177" spans="3:3">
      <c r="C177" s="198"/>
    </row>
    <row r="178" spans="3:3">
      <c r="C178" s="198"/>
    </row>
    <row r="179" spans="3:3">
      <c r="C179" s="198"/>
    </row>
    <row r="180" spans="3:3">
      <c r="C180" s="198"/>
    </row>
    <row r="181" spans="3:3">
      <c r="C181" s="198"/>
    </row>
    <row r="182" spans="3:3">
      <c r="C182" s="198"/>
    </row>
    <row r="183" spans="3:3">
      <c r="C183" s="198"/>
    </row>
    <row r="184" spans="3:3">
      <c r="C184" s="198"/>
    </row>
    <row r="185" spans="3:3">
      <c r="C185" s="198"/>
    </row>
    <row r="186" spans="3:3">
      <c r="C186" s="198"/>
    </row>
    <row r="187" spans="3:3">
      <c r="C187" s="198"/>
    </row>
    <row r="188" spans="3:3">
      <c r="C188" s="198"/>
    </row>
    <row r="189" spans="3:3">
      <c r="C189" s="198"/>
    </row>
    <row r="190" spans="3:3">
      <c r="C190" s="198"/>
    </row>
    <row r="191" spans="3:3">
      <c r="C191" s="198"/>
    </row>
    <row r="192" spans="3:3">
      <c r="C192" s="198"/>
    </row>
    <row r="193" spans="3:3">
      <c r="C193" s="198"/>
    </row>
    <row r="194" spans="3:3">
      <c r="C194" s="198"/>
    </row>
    <row r="195" spans="3:3">
      <c r="C195" s="198"/>
    </row>
    <row r="196" spans="3:3">
      <c r="C196" s="198"/>
    </row>
    <row r="197" spans="3:3">
      <c r="C197" s="198"/>
    </row>
    <row r="198" spans="3:3">
      <c r="C198" s="198"/>
    </row>
    <row r="199" spans="3:3">
      <c r="C199" s="198"/>
    </row>
    <row r="200" spans="3:3">
      <c r="C200" s="198"/>
    </row>
    <row r="201" spans="3:3">
      <c r="C201" s="198"/>
    </row>
    <row r="202" spans="3:3">
      <c r="C202" s="198"/>
    </row>
    <row r="203" spans="3:3">
      <c r="C203" s="198"/>
    </row>
    <row r="204" spans="3:3">
      <c r="C204" s="198"/>
    </row>
    <row r="205" spans="3:3">
      <c r="C205" s="198"/>
    </row>
    <row r="206" spans="3:3">
      <c r="C206" s="198"/>
    </row>
    <row r="207" spans="3:3">
      <c r="C207" s="198"/>
    </row>
    <row r="208" spans="3:3">
      <c r="C208" s="198"/>
    </row>
    <row r="209" spans="3:3">
      <c r="C209" s="198"/>
    </row>
    <row r="210" spans="3:3">
      <c r="C210" s="198"/>
    </row>
    <row r="211" spans="3:3">
      <c r="C211" s="198"/>
    </row>
    <row r="212" spans="3:3">
      <c r="C212" s="198"/>
    </row>
    <row r="213" spans="3:3">
      <c r="C213" s="198"/>
    </row>
    <row r="214" spans="3:3">
      <c r="C214" s="198"/>
    </row>
    <row r="215" spans="3:3">
      <c r="C215" s="198"/>
    </row>
    <row r="216" spans="3:3">
      <c r="C216" s="198"/>
    </row>
    <row r="217" spans="3:3">
      <c r="C217" s="198"/>
    </row>
    <row r="218" spans="3:3">
      <c r="C218" s="198"/>
    </row>
    <row r="219" spans="3:3">
      <c r="C219" s="198"/>
    </row>
    <row r="220" spans="3:3">
      <c r="C220" s="198"/>
    </row>
    <row r="221" spans="3:3">
      <c r="C221" s="198"/>
    </row>
    <row r="222" spans="3:3">
      <c r="C222" s="198"/>
    </row>
    <row r="223" spans="3:3">
      <c r="C223" s="198"/>
    </row>
    <row r="224" spans="3:3">
      <c r="C224" s="198"/>
    </row>
    <row r="225" spans="3:3">
      <c r="C225" s="198"/>
    </row>
    <row r="226" spans="3:3">
      <c r="C226" s="198"/>
    </row>
    <row r="227" spans="3:3">
      <c r="C227" s="198"/>
    </row>
    <row r="228" spans="3:3">
      <c r="C228" s="198"/>
    </row>
    <row r="229" spans="3:3">
      <c r="C229" s="198"/>
    </row>
    <row r="230" spans="3:3">
      <c r="C230" s="198"/>
    </row>
    <row r="231" spans="3:3">
      <c r="C231" s="198"/>
    </row>
    <row r="232" spans="3:3">
      <c r="C232" s="198"/>
    </row>
    <row r="233" spans="3:3">
      <c r="C233" s="198"/>
    </row>
  </sheetData>
  <mergeCells count="2">
    <mergeCell ref="A1:G1"/>
    <mergeCell ref="A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C0561-D445-4763-B204-FFEB44B17ADB}">
  <sheetPr codeName="Sheet3"/>
  <dimension ref="A1:CH100"/>
  <sheetViews>
    <sheetView topLeftCell="A90" workbookViewId="0">
      <selection activeCell="BF95" sqref="BF95"/>
    </sheetView>
  </sheetViews>
  <sheetFormatPr defaultColWidth="8.1796875" defaultRowHeight="20" outlineLevelCol="1"/>
  <cols>
    <col min="1" max="1" width="3.1796875" style="149" customWidth="1"/>
    <col min="2" max="2" width="5.26953125" style="149" customWidth="1"/>
    <col min="3" max="3" width="8.7265625" style="149" customWidth="1"/>
    <col min="4" max="4" width="11.26953125" style="149" bestFit="1" customWidth="1"/>
    <col min="5" max="9" width="4.81640625" style="136" hidden="1" customWidth="1" outlineLevel="1"/>
    <col min="10" max="10" width="5" style="134" customWidth="1" collapsed="1"/>
    <col min="11" max="15" width="4.81640625" style="136" hidden="1" customWidth="1" outlineLevel="1"/>
    <col min="16" max="16" width="5.26953125" style="136" customWidth="1" collapsed="1"/>
    <col min="17" max="21" width="4.81640625" style="136" hidden="1" customWidth="1" outlineLevel="1"/>
    <col min="22" max="22" width="5.26953125" style="136" customWidth="1" collapsed="1"/>
    <col min="23" max="27" width="4.81640625" style="136" hidden="1" customWidth="1" outlineLevel="1"/>
    <col min="28" max="28" width="5.81640625" style="136" customWidth="1" collapsed="1"/>
    <col min="29" max="33" width="4.81640625" style="136" hidden="1" customWidth="1" outlineLevel="1"/>
    <col min="34" max="34" width="5.26953125" style="136" customWidth="1" collapsed="1"/>
    <col min="35" max="39" width="4.81640625" style="136" hidden="1" customWidth="1" outlineLevel="1"/>
    <col min="40" max="40" width="5" style="136" customWidth="1" collapsed="1"/>
    <col min="41" max="45" width="4.81640625" style="136" hidden="1" customWidth="1" outlineLevel="1"/>
    <col min="46" max="46" width="5.08984375" style="136" customWidth="1" collapsed="1"/>
    <col min="47" max="51" width="4.81640625" style="136" hidden="1" customWidth="1" outlineLevel="1"/>
    <col min="52" max="52" width="4.81640625" style="136" customWidth="1" collapsed="1"/>
    <col min="53" max="57" width="4.81640625" style="136" hidden="1" customWidth="1" outlineLevel="1"/>
    <col min="58" max="58" width="4.81640625" style="136" customWidth="1" collapsed="1"/>
    <col min="59" max="63" width="4.81640625" style="136" hidden="1" customWidth="1" outlineLevel="1"/>
    <col min="64" max="64" width="5.453125" style="136" customWidth="1" collapsed="1"/>
    <col min="65" max="69" width="4.81640625" style="136" hidden="1" customWidth="1" outlineLevel="1"/>
    <col min="70" max="70" width="5.36328125" style="136" customWidth="1" collapsed="1"/>
    <col min="71" max="72" width="4.81640625" style="136" hidden="1" customWidth="1" outlineLevel="1"/>
    <col min="73" max="73" width="5.08984375" style="136" hidden="1" customWidth="1" outlineLevel="1"/>
    <col min="74" max="75" width="4.81640625" style="136" hidden="1" customWidth="1" outlineLevel="1"/>
    <col min="76" max="76" width="5.36328125" style="136" customWidth="1" collapsed="1"/>
    <col min="77" max="77" width="4.36328125" style="1" customWidth="1"/>
    <col min="78" max="78" width="5.36328125" style="135" customWidth="1" outlineLevel="1"/>
    <col min="79" max="79" width="8.81640625" style="135" customWidth="1" outlineLevel="1"/>
    <col min="80" max="80" width="5.90625" style="135" customWidth="1" outlineLevel="1"/>
    <col min="81" max="81" width="4.90625" style="135" customWidth="1" outlineLevel="1"/>
    <col min="82" max="82" width="6.36328125" style="135" customWidth="1" outlineLevel="1"/>
    <col min="83" max="83" width="5.90625" style="136" customWidth="1"/>
    <col min="84" max="84" width="11.36328125" customWidth="1"/>
    <col min="257" max="257" width="3.1796875" customWidth="1"/>
    <col min="258" max="258" width="4.08984375" customWidth="1"/>
    <col min="259" max="259" width="8.7265625" customWidth="1"/>
    <col min="260" max="260" width="11.26953125" bestFit="1" customWidth="1"/>
    <col min="261" max="265" width="0" hidden="1" customWidth="1"/>
    <col min="266" max="266" width="5" customWidth="1"/>
    <col min="267" max="271" width="0" hidden="1" customWidth="1"/>
    <col min="272" max="272" width="5.26953125" customWidth="1"/>
    <col min="273" max="277" width="0" hidden="1" customWidth="1"/>
    <col min="278" max="278" width="5.26953125" customWidth="1"/>
    <col min="279" max="283" width="0" hidden="1" customWidth="1"/>
    <col min="284" max="284" width="5.81640625" customWidth="1"/>
    <col min="285" max="289" width="0" hidden="1" customWidth="1"/>
    <col min="290" max="290" width="5.26953125" customWidth="1"/>
    <col min="291" max="295" width="0" hidden="1" customWidth="1"/>
    <col min="296" max="296" width="5" customWidth="1"/>
    <col min="297" max="301" width="0" hidden="1" customWidth="1"/>
    <col min="302" max="302" width="5.08984375" customWidth="1"/>
    <col min="303" max="307" width="0" hidden="1" customWidth="1"/>
    <col min="308" max="308" width="4.81640625" customWidth="1"/>
    <col min="309" max="313" width="0" hidden="1" customWidth="1"/>
    <col min="314" max="314" width="4.81640625" customWidth="1"/>
    <col min="315" max="319" width="0" hidden="1" customWidth="1"/>
    <col min="320" max="320" width="5.453125" customWidth="1"/>
    <col min="321" max="325" width="0" hidden="1" customWidth="1"/>
    <col min="326" max="326" width="5.36328125" customWidth="1"/>
    <col min="327" max="331" width="0" hidden="1" customWidth="1"/>
    <col min="332" max="332" width="5.36328125" customWidth="1"/>
    <col min="333" max="333" width="4.36328125" customWidth="1"/>
    <col min="334" max="334" width="5.36328125" customWidth="1"/>
    <col min="335" max="335" width="4.36328125" customWidth="1"/>
    <col min="336" max="336" width="5.90625" customWidth="1"/>
    <col min="337" max="337" width="4.90625" customWidth="1"/>
    <col min="338" max="338" width="6.36328125" customWidth="1"/>
    <col min="339" max="339" width="5.90625" customWidth="1"/>
    <col min="340" max="340" width="11.36328125" customWidth="1"/>
    <col min="513" max="513" width="3.1796875" customWidth="1"/>
    <col min="514" max="514" width="4.08984375" customWidth="1"/>
    <col min="515" max="515" width="8.7265625" customWidth="1"/>
    <col min="516" max="516" width="11.26953125" bestFit="1" customWidth="1"/>
    <col min="517" max="521" width="0" hidden="1" customWidth="1"/>
    <col min="522" max="522" width="5" customWidth="1"/>
    <col min="523" max="527" width="0" hidden="1" customWidth="1"/>
    <col min="528" max="528" width="5.26953125" customWidth="1"/>
    <col min="529" max="533" width="0" hidden="1" customWidth="1"/>
    <col min="534" max="534" width="5.26953125" customWidth="1"/>
    <col min="535" max="539" width="0" hidden="1" customWidth="1"/>
    <col min="540" max="540" width="5.81640625" customWidth="1"/>
    <col min="541" max="545" width="0" hidden="1" customWidth="1"/>
    <col min="546" max="546" width="5.26953125" customWidth="1"/>
    <col min="547" max="551" width="0" hidden="1" customWidth="1"/>
    <col min="552" max="552" width="5" customWidth="1"/>
    <col min="553" max="557" width="0" hidden="1" customWidth="1"/>
    <col min="558" max="558" width="5.08984375" customWidth="1"/>
    <col min="559" max="563" width="0" hidden="1" customWidth="1"/>
    <col min="564" max="564" width="4.81640625" customWidth="1"/>
    <col min="565" max="569" width="0" hidden="1" customWidth="1"/>
    <col min="570" max="570" width="4.81640625" customWidth="1"/>
    <col min="571" max="575" width="0" hidden="1" customWidth="1"/>
    <col min="576" max="576" width="5.453125" customWidth="1"/>
    <col min="577" max="581" width="0" hidden="1" customWidth="1"/>
    <col min="582" max="582" width="5.36328125" customWidth="1"/>
    <col min="583" max="587" width="0" hidden="1" customWidth="1"/>
    <col min="588" max="588" width="5.36328125" customWidth="1"/>
    <col min="589" max="589" width="4.36328125" customWidth="1"/>
    <col min="590" max="590" width="5.36328125" customWidth="1"/>
    <col min="591" max="591" width="4.36328125" customWidth="1"/>
    <col min="592" max="592" width="5.90625" customWidth="1"/>
    <col min="593" max="593" width="4.90625" customWidth="1"/>
    <col min="594" max="594" width="6.36328125" customWidth="1"/>
    <col min="595" max="595" width="5.90625" customWidth="1"/>
    <col min="596" max="596" width="11.36328125" customWidth="1"/>
    <col min="769" max="769" width="3.1796875" customWidth="1"/>
    <col min="770" max="770" width="4.08984375" customWidth="1"/>
    <col min="771" max="771" width="8.7265625" customWidth="1"/>
    <col min="772" max="772" width="11.26953125" bestFit="1" customWidth="1"/>
    <col min="773" max="777" width="0" hidden="1" customWidth="1"/>
    <col min="778" max="778" width="5" customWidth="1"/>
    <col min="779" max="783" width="0" hidden="1" customWidth="1"/>
    <col min="784" max="784" width="5.26953125" customWidth="1"/>
    <col min="785" max="789" width="0" hidden="1" customWidth="1"/>
    <col min="790" max="790" width="5.26953125" customWidth="1"/>
    <col min="791" max="795" width="0" hidden="1" customWidth="1"/>
    <col min="796" max="796" width="5.81640625" customWidth="1"/>
    <col min="797" max="801" width="0" hidden="1" customWidth="1"/>
    <col min="802" max="802" width="5.26953125" customWidth="1"/>
    <col min="803" max="807" width="0" hidden="1" customWidth="1"/>
    <col min="808" max="808" width="5" customWidth="1"/>
    <col min="809" max="813" width="0" hidden="1" customWidth="1"/>
    <col min="814" max="814" width="5.08984375" customWidth="1"/>
    <col min="815" max="819" width="0" hidden="1" customWidth="1"/>
    <col min="820" max="820" width="4.81640625" customWidth="1"/>
    <col min="821" max="825" width="0" hidden="1" customWidth="1"/>
    <col min="826" max="826" width="4.81640625" customWidth="1"/>
    <col min="827" max="831" width="0" hidden="1" customWidth="1"/>
    <col min="832" max="832" width="5.453125" customWidth="1"/>
    <col min="833" max="837" width="0" hidden="1" customWidth="1"/>
    <col min="838" max="838" width="5.36328125" customWidth="1"/>
    <col min="839" max="843" width="0" hidden="1" customWidth="1"/>
    <col min="844" max="844" width="5.36328125" customWidth="1"/>
    <col min="845" max="845" width="4.36328125" customWidth="1"/>
    <col min="846" max="846" width="5.36328125" customWidth="1"/>
    <col min="847" max="847" width="4.36328125" customWidth="1"/>
    <col min="848" max="848" width="5.90625" customWidth="1"/>
    <col min="849" max="849" width="4.90625" customWidth="1"/>
    <col min="850" max="850" width="6.36328125" customWidth="1"/>
    <col min="851" max="851" width="5.90625" customWidth="1"/>
    <col min="852" max="852" width="11.36328125" customWidth="1"/>
    <col min="1025" max="1025" width="3.1796875" customWidth="1"/>
    <col min="1026" max="1026" width="4.08984375" customWidth="1"/>
    <col min="1027" max="1027" width="8.7265625" customWidth="1"/>
    <col min="1028" max="1028" width="11.26953125" bestFit="1" customWidth="1"/>
    <col min="1029" max="1033" width="0" hidden="1" customWidth="1"/>
    <col min="1034" max="1034" width="5" customWidth="1"/>
    <col min="1035" max="1039" width="0" hidden="1" customWidth="1"/>
    <col min="1040" max="1040" width="5.26953125" customWidth="1"/>
    <col min="1041" max="1045" width="0" hidden="1" customWidth="1"/>
    <col min="1046" max="1046" width="5.26953125" customWidth="1"/>
    <col min="1047" max="1051" width="0" hidden="1" customWidth="1"/>
    <col min="1052" max="1052" width="5.81640625" customWidth="1"/>
    <col min="1053" max="1057" width="0" hidden="1" customWidth="1"/>
    <col min="1058" max="1058" width="5.26953125" customWidth="1"/>
    <col min="1059" max="1063" width="0" hidden="1" customWidth="1"/>
    <col min="1064" max="1064" width="5" customWidth="1"/>
    <col min="1065" max="1069" width="0" hidden="1" customWidth="1"/>
    <col min="1070" max="1070" width="5.08984375" customWidth="1"/>
    <col min="1071" max="1075" width="0" hidden="1" customWidth="1"/>
    <col min="1076" max="1076" width="4.81640625" customWidth="1"/>
    <col min="1077" max="1081" width="0" hidden="1" customWidth="1"/>
    <col min="1082" max="1082" width="4.81640625" customWidth="1"/>
    <col min="1083" max="1087" width="0" hidden="1" customWidth="1"/>
    <col min="1088" max="1088" width="5.453125" customWidth="1"/>
    <col min="1089" max="1093" width="0" hidden="1" customWidth="1"/>
    <col min="1094" max="1094" width="5.36328125" customWidth="1"/>
    <col min="1095" max="1099" width="0" hidden="1" customWidth="1"/>
    <col min="1100" max="1100" width="5.36328125" customWidth="1"/>
    <col min="1101" max="1101" width="4.36328125" customWidth="1"/>
    <col min="1102" max="1102" width="5.36328125" customWidth="1"/>
    <col min="1103" max="1103" width="4.36328125" customWidth="1"/>
    <col min="1104" max="1104" width="5.90625" customWidth="1"/>
    <col min="1105" max="1105" width="4.90625" customWidth="1"/>
    <col min="1106" max="1106" width="6.36328125" customWidth="1"/>
    <col min="1107" max="1107" width="5.90625" customWidth="1"/>
    <col min="1108" max="1108" width="11.36328125" customWidth="1"/>
    <col min="1281" max="1281" width="3.1796875" customWidth="1"/>
    <col min="1282" max="1282" width="4.08984375" customWidth="1"/>
    <col min="1283" max="1283" width="8.7265625" customWidth="1"/>
    <col min="1284" max="1284" width="11.26953125" bestFit="1" customWidth="1"/>
    <col min="1285" max="1289" width="0" hidden="1" customWidth="1"/>
    <col min="1290" max="1290" width="5" customWidth="1"/>
    <col min="1291" max="1295" width="0" hidden="1" customWidth="1"/>
    <col min="1296" max="1296" width="5.26953125" customWidth="1"/>
    <col min="1297" max="1301" width="0" hidden="1" customWidth="1"/>
    <col min="1302" max="1302" width="5.26953125" customWidth="1"/>
    <col min="1303" max="1307" width="0" hidden="1" customWidth="1"/>
    <col min="1308" max="1308" width="5.81640625" customWidth="1"/>
    <col min="1309" max="1313" width="0" hidden="1" customWidth="1"/>
    <col min="1314" max="1314" width="5.26953125" customWidth="1"/>
    <col min="1315" max="1319" width="0" hidden="1" customWidth="1"/>
    <col min="1320" max="1320" width="5" customWidth="1"/>
    <col min="1321" max="1325" width="0" hidden="1" customWidth="1"/>
    <col min="1326" max="1326" width="5.08984375" customWidth="1"/>
    <col min="1327" max="1331" width="0" hidden="1" customWidth="1"/>
    <col min="1332" max="1332" width="4.81640625" customWidth="1"/>
    <col min="1333" max="1337" width="0" hidden="1" customWidth="1"/>
    <col min="1338" max="1338" width="4.81640625" customWidth="1"/>
    <col min="1339" max="1343" width="0" hidden="1" customWidth="1"/>
    <col min="1344" max="1344" width="5.453125" customWidth="1"/>
    <col min="1345" max="1349" width="0" hidden="1" customWidth="1"/>
    <col min="1350" max="1350" width="5.36328125" customWidth="1"/>
    <col min="1351" max="1355" width="0" hidden="1" customWidth="1"/>
    <col min="1356" max="1356" width="5.36328125" customWidth="1"/>
    <col min="1357" max="1357" width="4.36328125" customWidth="1"/>
    <col min="1358" max="1358" width="5.36328125" customWidth="1"/>
    <col min="1359" max="1359" width="4.36328125" customWidth="1"/>
    <col min="1360" max="1360" width="5.90625" customWidth="1"/>
    <col min="1361" max="1361" width="4.90625" customWidth="1"/>
    <col min="1362" max="1362" width="6.36328125" customWidth="1"/>
    <col min="1363" max="1363" width="5.90625" customWidth="1"/>
    <col min="1364" max="1364" width="11.36328125" customWidth="1"/>
    <col min="1537" max="1537" width="3.1796875" customWidth="1"/>
    <col min="1538" max="1538" width="4.08984375" customWidth="1"/>
    <col min="1539" max="1539" width="8.7265625" customWidth="1"/>
    <col min="1540" max="1540" width="11.26953125" bestFit="1" customWidth="1"/>
    <col min="1541" max="1545" width="0" hidden="1" customWidth="1"/>
    <col min="1546" max="1546" width="5" customWidth="1"/>
    <col min="1547" max="1551" width="0" hidden="1" customWidth="1"/>
    <col min="1552" max="1552" width="5.26953125" customWidth="1"/>
    <col min="1553" max="1557" width="0" hidden="1" customWidth="1"/>
    <col min="1558" max="1558" width="5.26953125" customWidth="1"/>
    <col min="1559" max="1563" width="0" hidden="1" customWidth="1"/>
    <col min="1564" max="1564" width="5.81640625" customWidth="1"/>
    <col min="1565" max="1569" width="0" hidden="1" customWidth="1"/>
    <col min="1570" max="1570" width="5.26953125" customWidth="1"/>
    <col min="1571" max="1575" width="0" hidden="1" customWidth="1"/>
    <col min="1576" max="1576" width="5" customWidth="1"/>
    <col min="1577" max="1581" width="0" hidden="1" customWidth="1"/>
    <col min="1582" max="1582" width="5.08984375" customWidth="1"/>
    <col min="1583" max="1587" width="0" hidden="1" customWidth="1"/>
    <col min="1588" max="1588" width="4.81640625" customWidth="1"/>
    <col min="1589" max="1593" width="0" hidden="1" customWidth="1"/>
    <col min="1594" max="1594" width="4.81640625" customWidth="1"/>
    <col min="1595" max="1599" width="0" hidden="1" customWidth="1"/>
    <col min="1600" max="1600" width="5.453125" customWidth="1"/>
    <col min="1601" max="1605" width="0" hidden="1" customWidth="1"/>
    <col min="1606" max="1606" width="5.36328125" customWidth="1"/>
    <col min="1607" max="1611" width="0" hidden="1" customWidth="1"/>
    <col min="1612" max="1612" width="5.36328125" customWidth="1"/>
    <col min="1613" max="1613" width="4.36328125" customWidth="1"/>
    <col min="1614" max="1614" width="5.36328125" customWidth="1"/>
    <col min="1615" max="1615" width="4.36328125" customWidth="1"/>
    <col min="1616" max="1616" width="5.90625" customWidth="1"/>
    <col min="1617" max="1617" width="4.90625" customWidth="1"/>
    <col min="1618" max="1618" width="6.36328125" customWidth="1"/>
    <col min="1619" max="1619" width="5.90625" customWidth="1"/>
    <col min="1620" max="1620" width="11.36328125" customWidth="1"/>
    <col min="1793" max="1793" width="3.1796875" customWidth="1"/>
    <col min="1794" max="1794" width="4.08984375" customWidth="1"/>
    <col min="1795" max="1795" width="8.7265625" customWidth="1"/>
    <col min="1796" max="1796" width="11.26953125" bestFit="1" customWidth="1"/>
    <col min="1797" max="1801" width="0" hidden="1" customWidth="1"/>
    <col min="1802" max="1802" width="5" customWidth="1"/>
    <col min="1803" max="1807" width="0" hidden="1" customWidth="1"/>
    <col min="1808" max="1808" width="5.26953125" customWidth="1"/>
    <col min="1809" max="1813" width="0" hidden="1" customWidth="1"/>
    <col min="1814" max="1814" width="5.26953125" customWidth="1"/>
    <col min="1815" max="1819" width="0" hidden="1" customWidth="1"/>
    <col min="1820" max="1820" width="5.81640625" customWidth="1"/>
    <col min="1821" max="1825" width="0" hidden="1" customWidth="1"/>
    <col min="1826" max="1826" width="5.26953125" customWidth="1"/>
    <col min="1827" max="1831" width="0" hidden="1" customWidth="1"/>
    <col min="1832" max="1832" width="5" customWidth="1"/>
    <col min="1833" max="1837" width="0" hidden="1" customWidth="1"/>
    <col min="1838" max="1838" width="5.08984375" customWidth="1"/>
    <col min="1839" max="1843" width="0" hidden="1" customWidth="1"/>
    <col min="1844" max="1844" width="4.81640625" customWidth="1"/>
    <col min="1845" max="1849" width="0" hidden="1" customWidth="1"/>
    <col min="1850" max="1850" width="4.81640625" customWidth="1"/>
    <col min="1851" max="1855" width="0" hidden="1" customWidth="1"/>
    <col min="1856" max="1856" width="5.453125" customWidth="1"/>
    <col min="1857" max="1861" width="0" hidden="1" customWidth="1"/>
    <col min="1862" max="1862" width="5.36328125" customWidth="1"/>
    <col min="1863" max="1867" width="0" hidden="1" customWidth="1"/>
    <col min="1868" max="1868" width="5.36328125" customWidth="1"/>
    <col min="1869" max="1869" width="4.36328125" customWidth="1"/>
    <col min="1870" max="1870" width="5.36328125" customWidth="1"/>
    <col min="1871" max="1871" width="4.36328125" customWidth="1"/>
    <col min="1872" max="1872" width="5.90625" customWidth="1"/>
    <col min="1873" max="1873" width="4.90625" customWidth="1"/>
    <col min="1874" max="1874" width="6.36328125" customWidth="1"/>
    <col min="1875" max="1875" width="5.90625" customWidth="1"/>
    <col min="1876" max="1876" width="11.36328125" customWidth="1"/>
    <col min="2049" max="2049" width="3.1796875" customWidth="1"/>
    <col min="2050" max="2050" width="4.08984375" customWidth="1"/>
    <col min="2051" max="2051" width="8.7265625" customWidth="1"/>
    <col min="2052" max="2052" width="11.26953125" bestFit="1" customWidth="1"/>
    <col min="2053" max="2057" width="0" hidden="1" customWidth="1"/>
    <col min="2058" max="2058" width="5" customWidth="1"/>
    <col min="2059" max="2063" width="0" hidden="1" customWidth="1"/>
    <col min="2064" max="2064" width="5.26953125" customWidth="1"/>
    <col min="2065" max="2069" width="0" hidden="1" customWidth="1"/>
    <col min="2070" max="2070" width="5.26953125" customWidth="1"/>
    <col min="2071" max="2075" width="0" hidden="1" customWidth="1"/>
    <col min="2076" max="2076" width="5.81640625" customWidth="1"/>
    <col min="2077" max="2081" width="0" hidden="1" customWidth="1"/>
    <col min="2082" max="2082" width="5.26953125" customWidth="1"/>
    <col min="2083" max="2087" width="0" hidden="1" customWidth="1"/>
    <col min="2088" max="2088" width="5" customWidth="1"/>
    <col min="2089" max="2093" width="0" hidden="1" customWidth="1"/>
    <col min="2094" max="2094" width="5.08984375" customWidth="1"/>
    <col min="2095" max="2099" width="0" hidden="1" customWidth="1"/>
    <col min="2100" max="2100" width="4.81640625" customWidth="1"/>
    <col min="2101" max="2105" width="0" hidden="1" customWidth="1"/>
    <col min="2106" max="2106" width="4.81640625" customWidth="1"/>
    <col min="2107" max="2111" width="0" hidden="1" customWidth="1"/>
    <col min="2112" max="2112" width="5.453125" customWidth="1"/>
    <col min="2113" max="2117" width="0" hidden="1" customWidth="1"/>
    <col min="2118" max="2118" width="5.36328125" customWidth="1"/>
    <col min="2119" max="2123" width="0" hidden="1" customWidth="1"/>
    <col min="2124" max="2124" width="5.36328125" customWidth="1"/>
    <col min="2125" max="2125" width="4.36328125" customWidth="1"/>
    <col min="2126" max="2126" width="5.36328125" customWidth="1"/>
    <col min="2127" max="2127" width="4.36328125" customWidth="1"/>
    <col min="2128" max="2128" width="5.90625" customWidth="1"/>
    <col min="2129" max="2129" width="4.90625" customWidth="1"/>
    <col min="2130" max="2130" width="6.36328125" customWidth="1"/>
    <col min="2131" max="2131" width="5.90625" customWidth="1"/>
    <col min="2132" max="2132" width="11.36328125" customWidth="1"/>
    <col min="2305" max="2305" width="3.1796875" customWidth="1"/>
    <col min="2306" max="2306" width="4.08984375" customWidth="1"/>
    <col min="2307" max="2307" width="8.7265625" customWidth="1"/>
    <col min="2308" max="2308" width="11.26953125" bestFit="1" customWidth="1"/>
    <col min="2309" max="2313" width="0" hidden="1" customWidth="1"/>
    <col min="2314" max="2314" width="5" customWidth="1"/>
    <col min="2315" max="2319" width="0" hidden="1" customWidth="1"/>
    <col min="2320" max="2320" width="5.26953125" customWidth="1"/>
    <col min="2321" max="2325" width="0" hidden="1" customWidth="1"/>
    <col min="2326" max="2326" width="5.26953125" customWidth="1"/>
    <col min="2327" max="2331" width="0" hidden="1" customWidth="1"/>
    <col min="2332" max="2332" width="5.81640625" customWidth="1"/>
    <col min="2333" max="2337" width="0" hidden="1" customWidth="1"/>
    <col min="2338" max="2338" width="5.26953125" customWidth="1"/>
    <col min="2339" max="2343" width="0" hidden="1" customWidth="1"/>
    <col min="2344" max="2344" width="5" customWidth="1"/>
    <col min="2345" max="2349" width="0" hidden="1" customWidth="1"/>
    <col min="2350" max="2350" width="5.08984375" customWidth="1"/>
    <col min="2351" max="2355" width="0" hidden="1" customWidth="1"/>
    <col min="2356" max="2356" width="4.81640625" customWidth="1"/>
    <col min="2357" max="2361" width="0" hidden="1" customWidth="1"/>
    <col min="2362" max="2362" width="4.81640625" customWidth="1"/>
    <col min="2363" max="2367" width="0" hidden="1" customWidth="1"/>
    <col min="2368" max="2368" width="5.453125" customWidth="1"/>
    <col min="2369" max="2373" width="0" hidden="1" customWidth="1"/>
    <col min="2374" max="2374" width="5.36328125" customWidth="1"/>
    <col min="2375" max="2379" width="0" hidden="1" customWidth="1"/>
    <col min="2380" max="2380" width="5.36328125" customWidth="1"/>
    <col min="2381" max="2381" width="4.36328125" customWidth="1"/>
    <col min="2382" max="2382" width="5.36328125" customWidth="1"/>
    <col min="2383" max="2383" width="4.36328125" customWidth="1"/>
    <col min="2384" max="2384" width="5.90625" customWidth="1"/>
    <col min="2385" max="2385" width="4.90625" customWidth="1"/>
    <col min="2386" max="2386" width="6.36328125" customWidth="1"/>
    <col min="2387" max="2387" width="5.90625" customWidth="1"/>
    <col min="2388" max="2388" width="11.36328125" customWidth="1"/>
    <col min="2561" max="2561" width="3.1796875" customWidth="1"/>
    <col min="2562" max="2562" width="4.08984375" customWidth="1"/>
    <col min="2563" max="2563" width="8.7265625" customWidth="1"/>
    <col min="2564" max="2564" width="11.26953125" bestFit="1" customWidth="1"/>
    <col min="2565" max="2569" width="0" hidden="1" customWidth="1"/>
    <col min="2570" max="2570" width="5" customWidth="1"/>
    <col min="2571" max="2575" width="0" hidden="1" customWidth="1"/>
    <col min="2576" max="2576" width="5.26953125" customWidth="1"/>
    <col min="2577" max="2581" width="0" hidden="1" customWidth="1"/>
    <col min="2582" max="2582" width="5.26953125" customWidth="1"/>
    <col min="2583" max="2587" width="0" hidden="1" customWidth="1"/>
    <col min="2588" max="2588" width="5.81640625" customWidth="1"/>
    <col min="2589" max="2593" width="0" hidden="1" customWidth="1"/>
    <col min="2594" max="2594" width="5.26953125" customWidth="1"/>
    <col min="2595" max="2599" width="0" hidden="1" customWidth="1"/>
    <col min="2600" max="2600" width="5" customWidth="1"/>
    <col min="2601" max="2605" width="0" hidden="1" customWidth="1"/>
    <col min="2606" max="2606" width="5.08984375" customWidth="1"/>
    <col min="2607" max="2611" width="0" hidden="1" customWidth="1"/>
    <col min="2612" max="2612" width="4.81640625" customWidth="1"/>
    <col min="2613" max="2617" width="0" hidden="1" customWidth="1"/>
    <col min="2618" max="2618" width="4.81640625" customWidth="1"/>
    <col min="2619" max="2623" width="0" hidden="1" customWidth="1"/>
    <col min="2624" max="2624" width="5.453125" customWidth="1"/>
    <col min="2625" max="2629" width="0" hidden="1" customWidth="1"/>
    <col min="2630" max="2630" width="5.36328125" customWidth="1"/>
    <col min="2631" max="2635" width="0" hidden="1" customWidth="1"/>
    <col min="2636" max="2636" width="5.36328125" customWidth="1"/>
    <col min="2637" max="2637" width="4.36328125" customWidth="1"/>
    <col min="2638" max="2638" width="5.36328125" customWidth="1"/>
    <col min="2639" max="2639" width="4.36328125" customWidth="1"/>
    <col min="2640" max="2640" width="5.90625" customWidth="1"/>
    <col min="2641" max="2641" width="4.90625" customWidth="1"/>
    <col min="2642" max="2642" width="6.36328125" customWidth="1"/>
    <col min="2643" max="2643" width="5.90625" customWidth="1"/>
    <col min="2644" max="2644" width="11.36328125" customWidth="1"/>
    <col min="2817" max="2817" width="3.1796875" customWidth="1"/>
    <col min="2818" max="2818" width="4.08984375" customWidth="1"/>
    <col min="2819" max="2819" width="8.7265625" customWidth="1"/>
    <col min="2820" max="2820" width="11.26953125" bestFit="1" customWidth="1"/>
    <col min="2821" max="2825" width="0" hidden="1" customWidth="1"/>
    <col min="2826" max="2826" width="5" customWidth="1"/>
    <col min="2827" max="2831" width="0" hidden="1" customWidth="1"/>
    <col min="2832" max="2832" width="5.26953125" customWidth="1"/>
    <col min="2833" max="2837" width="0" hidden="1" customWidth="1"/>
    <col min="2838" max="2838" width="5.26953125" customWidth="1"/>
    <col min="2839" max="2843" width="0" hidden="1" customWidth="1"/>
    <col min="2844" max="2844" width="5.81640625" customWidth="1"/>
    <col min="2845" max="2849" width="0" hidden="1" customWidth="1"/>
    <col min="2850" max="2850" width="5.26953125" customWidth="1"/>
    <col min="2851" max="2855" width="0" hidden="1" customWidth="1"/>
    <col min="2856" max="2856" width="5" customWidth="1"/>
    <col min="2857" max="2861" width="0" hidden="1" customWidth="1"/>
    <col min="2862" max="2862" width="5.08984375" customWidth="1"/>
    <col min="2863" max="2867" width="0" hidden="1" customWidth="1"/>
    <col min="2868" max="2868" width="4.81640625" customWidth="1"/>
    <col min="2869" max="2873" width="0" hidden="1" customWidth="1"/>
    <col min="2874" max="2874" width="4.81640625" customWidth="1"/>
    <col min="2875" max="2879" width="0" hidden="1" customWidth="1"/>
    <col min="2880" max="2880" width="5.453125" customWidth="1"/>
    <col min="2881" max="2885" width="0" hidden="1" customWidth="1"/>
    <col min="2886" max="2886" width="5.36328125" customWidth="1"/>
    <col min="2887" max="2891" width="0" hidden="1" customWidth="1"/>
    <col min="2892" max="2892" width="5.36328125" customWidth="1"/>
    <col min="2893" max="2893" width="4.36328125" customWidth="1"/>
    <col min="2894" max="2894" width="5.36328125" customWidth="1"/>
    <col min="2895" max="2895" width="4.36328125" customWidth="1"/>
    <col min="2896" max="2896" width="5.90625" customWidth="1"/>
    <col min="2897" max="2897" width="4.90625" customWidth="1"/>
    <col min="2898" max="2898" width="6.36328125" customWidth="1"/>
    <col min="2899" max="2899" width="5.90625" customWidth="1"/>
    <col min="2900" max="2900" width="11.36328125" customWidth="1"/>
    <col min="3073" max="3073" width="3.1796875" customWidth="1"/>
    <col min="3074" max="3074" width="4.08984375" customWidth="1"/>
    <col min="3075" max="3075" width="8.7265625" customWidth="1"/>
    <col min="3076" max="3076" width="11.26953125" bestFit="1" customWidth="1"/>
    <col min="3077" max="3081" width="0" hidden="1" customWidth="1"/>
    <col min="3082" max="3082" width="5" customWidth="1"/>
    <col min="3083" max="3087" width="0" hidden="1" customWidth="1"/>
    <col min="3088" max="3088" width="5.26953125" customWidth="1"/>
    <col min="3089" max="3093" width="0" hidden="1" customWidth="1"/>
    <col min="3094" max="3094" width="5.26953125" customWidth="1"/>
    <col min="3095" max="3099" width="0" hidden="1" customWidth="1"/>
    <col min="3100" max="3100" width="5.81640625" customWidth="1"/>
    <col min="3101" max="3105" width="0" hidden="1" customWidth="1"/>
    <col min="3106" max="3106" width="5.26953125" customWidth="1"/>
    <col min="3107" max="3111" width="0" hidden="1" customWidth="1"/>
    <col min="3112" max="3112" width="5" customWidth="1"/>
    <col min="3113" max="3117" width="0" hidden="1" customWidth="1"/>
    <col min="3118" max="3118" width="5.08984375" customWidth="1"/>
    <col min="3119" max="3123" width="0" hidden="1" customWidth="1"/>
    <col min="3124" max="3124" width="4.81640625" customWidth="1"/>
    <col min="3125" max="3129" width="0" hidden="1" customWidth="1"/>
    <col min="3130" max="3130" width="4.81640625" customWidth="1"/>
    <col min="3131" max="3135" width="0" hidden="1" customWidth="1"/>
    <col min="3136" max="3136" width="5.453125" customWidth="1"/>
    <col min="3137" max="3141" width="0" hidden="1" customWidth="1"/>
    <col min="3142" max="3142" width="5.36328125" customWidth="1"/>
    <col min="3143" max="3147" width="0" hidden="1" customWidth="1"/>
    <col min="3148" max="3148" width="5.36328125" customWidth="1"/>
    <col min="3149" max="3149" width="4.36328125" customWidth="1"/>
    <col min="3150" max="3150" width="5.36328125" customWidth="1"/>
    <col min="3151" max="3151" width="4.36328125" customWidth="1"/>
    <col min="3152" max="3152" width="5.90625" customWidth="1"/>
    <col min="3153" max="3153" width="4.90625" customWidth="1"/>
    <col min="3154" max="3154" width="6.36328125" customWidth="1"/>
    <col min="3155" max="3155" width="5.90625" customWidth="1"/>
    <col min="3156" max="3156" width="11.36328125" customWidth="1"/>
    <col min="3329" max="3329" width="3.1796875" customWidth="1"/>
    <col min="3330" max="3330" width="4.08984375" customWidth="1"/>
    <col min="3331" max="3331" width="8.7265625" customWidth="1"/>
    <col min="3332" max="3332" width="11.26953125" bestFit="1" customWidth="1"/>
    <col min="3333" max="3337" width="0" hidden="1" customWidth="1"/>
    <col min="3338" max="3338" width="5" customWidth="1"/>
    <col min="3339" max="3343" width="0" hidden="1" customWidth="1"/>
    <col min="3344" max="3344" width="5.26953125" customWidth="1"/>
    <col min="3345" max="3349" width="0" hidden="1" customWidth="1"/>
    <col min="3350" max="3350" width="5.26953125" customWidth="1"/>
    <col min="3351" max="3355" width="0" hidden="1" customWidth="1"/>
    <col min="3356" max="3356" width="5.81640625" customWidth="1"/>
    <col min="3357" max="3361" width="0" hidden="1" customWidth="1"/>
    <col min="3362" max="3362" width="5.26953125" customWidth="1"/>
    <col min="3363" max="3367" width="0" hidden="1" customWidth="1"/>
    <col min="3368" max="3368" width="5" customWidth="1"/>
    <col min="3369" max="3373" width="0" hidden="1" customWidth="1"/>
    <col min="3374" max="3374" width="5.08984375" customWidth="1"/>
    <col min="3375" max="3379" width="0" hidden="1" customWidth="1"/>
    <col min="3380" max="3380" width="4.81640625" customWidth="1"/>
    <col min="3381" max="3385" width="0" hidden="1" customWidth="1"/>
    <col min="3386" max="3386" width="4.81640625" customWidth="1"/>
    <col min="3387" max="3391" width="0" hidden="1" customWidth="1"/>
    <col min="3392" max="3392" width="5.453125" customWidth="1"/>
    <col min="3393" max="3397" width="0" hidden="1" customWidth="1"/>
    <col min="3398" max="3398" width="5.36328125" customWidth="1"/>
    <col min="3399" max="3403" width="0" hidden="1" customWidth="1"/>
    <col min="3404" max="3404" width="5.36328125" customWidth="1"/>
    <col min="3405" max="3405" width="4.36328125" customWidth="1"/>
    <col min="3406" max="3406" width="5.36328125" customWidth="1"/>
    <col min="3407" max="3407" width="4.36328125" customWidth="1"/>
    <col min="3408" max="3408" width="5.90625" customWidth="1"/>
    <col min="3409" max="3409" width="4.90625" customWidth="1"/>
    <col min="3410" max="3410" width="6.36328125" customWidth="1"/>
    <col min="3411" max="3411" width="5.90625" customWidth="1"/>
    <col min="3412" max="3412" width="11.36328125" customWidth="1"/>
    <col min="3585" max="3585" width="3.1796875" customWidth="1"/>
    <col min="3586" max="3586" width="4.08984375" customWidth="1"/>
    <col min="3587" max="3587" width="8.7265625" customWidth="1"/>
    <col min="3588" max="3588" width="11.26953125" bestFit="1" customWidth="1"/>
    <col min="3589" max="3593" width="0" hidden="1" customWidth="1"/>
    <col min="3594" max="3594" width="5" customWidth="1"/>
    <col min="3595" max="3599" width="0" hidden="1" customWidth="1"/>
    <col min="3600" max="3600" width="5.26953125" customWidth="1"/>
    <col min="3601" max="3605" width="0" hidden="1" customWidth="1"/>
    <col min="3606" max="3606" width="5.26953125" customWidth="1"/>
    <col min="3607" max="3611" width="0" hidden="1" customWidth="1"/>
    <col min="3612" max="3612" width="5.81640625" customWidth="1"/>
    <col min="3613" max="3617" width="0" hidden="1" customWidth="1"/>
    <col min="3618" max="3618" width="5.26953125" customWidth="1"/>
    <col min="3619" max="3623" width="0" hidden="1" customWidth="1"/>
    <col min="3624" max="3624" width="5" customWidth="1"/>
    <col min="3625" max="3629" width="0" hidden="1" customWidth="1"/>
    <col min="3630" max="3630" width="5.08984375" customWidth="1"/>
    <col min="3631" max="3635" width="0" hidden="1" customWidth="1"/>
    <col min="3636" max="3636" width="4.81640625" customWidth="1"/>
    <col min="3637" max="3641" width="0" hidden="1" customWidth="1"/>
    <col min="3642" max="3642" width="4.81640625" customWidth="1"/>
    <col min="3643" max="3647" width="0" hidden="1" customWidth="1"/>
    <col min="3648" max="3648" width="5.453125" customWidth="1"/>
    <col min="3649" max="3653" width="0" hidden="1" customWidth="1"/>
    <col min="3654" max="3654" width="5.36328125" customWidth="1"/>
    <col min="3655" max="3659" width="0" hidden="1" customWidth="1"/>
    <col min="3660" max="3660" width="5.36328125" customWidth="1"/>
    <col min="3661" max="3661" width="4.36328125" customWidth="1"/>
    <col min="3662" max="3662" width="5.36328125" customWidth="1"/>
    <col min="3663" max="3663" width="4.36328125" customWidth="1"/>
    <col min="3664" max="3664" width="5.90625" customWidth="1"/>
    <col min="3665" max="3665" width="4.90625" customWidth="1"/>
    <col min="3666" max="3666" width="6.36328125" customWidth="1"/>
    <col min="3667" max="3667" width="5.90625" customWidth="1"/>
    <col min="3668" max="3668" width="11.36328125" customWidth="1"/>
    <col min="3841" max="3841" width="3.1796875" customWidth="1"/>
    <col min="3842" max="3842" width="4.08984375" customWidth="1"/>
    <col min="3843" max="3843" width="8.7265625" customWidth="1"/>
    <col min="3844" max="3844" width="11.26953125" bestFit="1" customWidth="1"/>
    <col min="3845" max="3849" width="0" hidden="1" customWidth="1"/>
    <col min="3850" max="3850" width="5" customWidth="1"/>
    <col min="3851" max="3855" width="0" hidden="1" customWidth="1"/>
    <col min="3856" max="3856" width="5.26953125" customWidth="1"/>
    <col min="3857" max="3861" width="0" hidden="1" customWidth="1"/>
    <col min="3862" max="3862" width="5.26953125" customWidth="1"/>
    <col min="3863" max="3867" width="0" hidden="1" customWidth="1"/>
    <col min="3868" max="3868" width="5.81640625" customWidth="1"/>
    <col min="3869" max="3873" width="0" hidden="1" customWidth="1"/>
    <col min="3874" max="3874" width="5.26953125" customWidth="1"/>
    <col min="3875" max="3879" width="0" hidden="1" customWidth="1"/>
    <col min="3880" max="3880" width="5" customWidth="1"/>
    <col min="3881" max="3885" width="0" hidden="1" customWidth="1"/>
    <col min="3886" max="3886" width="5.08984375" customWidth="1"/>
    <col min="3887" max="3891" width="0" hidden="1" customWidth="1"/>
    <col min="3892" max="3892" width="4.81640625" customWidth="1"/>
    <col min="3893" max="3897" width="0" hidden="1" customWidth="1"/>
    <col min="3898" max="3898" width="4.81640625" customWidth="1"/>
    <col min="3899" max="3903" width="0" hidden="1" customWidth="1"/>
    <col min="3904" max="3904" width="5.453125" customWidth="1"/>
    <col min="3905" max="3909" width="0" hidden="1" customWidth="1"/>
    <col min="3910" max="3910" width="5.36328125" customWidth="1"/>
    <col min="3911" max="3915" width="0" hidden="1" customWidth="1"/>
    <col min="3916" max="3916" width="5.36328125" customWidth="1"/>
    <col min="3917" max="3917" width="4.36328125" customWidth="1"/>
    <col min="3918" max="3918" width="5.36328125" customWidth="1"/>
    <col min="3919" max="3919" width="4.36328125" customWidth="1"/>
    <col min="3920" max="3920" width="5.90625" customWidth="1"/>
    <col min="3921" max="3921" width="4.90625" customWidth="1"/>
    <col min="3922" max="3922" width="6.36328125" customWidth="1"/>
    <col min="3923" max="3923" width="5.90625" customWidth="1"/>
    <col min="3924" max="3924" width="11.36328125" customWidth="1"/>
    <col min="4097" max="4097" width="3.1796875" customWidth="1"/>
    <col min="4098" max="4098" width="4.08984375" customWidth="1"/>
    <col min="4099" max="4099" width="8.7265625" customWidth="1"/>
    <col min="4100" max="4100" width="11.26953125" bestFit="1" customWidth="1"/>
    <col min="4101" max="4105" width="0" hidden="1" customWidth="1"/>
    <col min="4106" max="4106" width="5" customWidth="1"/>
    <col min="4107" max="4111" width="0" hidden="1" customWidth="1"/>
    <col min="4112" max="4112" width="5.26953125" customWidth="1"/>
    <col min="4113" max="4117" width="0" hidden="1" customWidth="1"/>
    <col min="4118" max="4118" width="5.26953125" customWidth="1"/>
    <col min="4119" max="4123" width="0" hidden="1" customWidth="1"/>
    <col min="4124" max="4124" width="5.81640625" customWidth="1"/>
    <col min="4125" max="4129" width="0" hidden="1" customWidth="1"/>
    <col min="4130" max="4130" width="5.26953125" customWidth="1"/>
    <col min="4131" max="4135" width="0" hidden="1" customWidth="1"/>
    <col min="4136" max="4136" width="5" customWidth="1"/>
    <col min="4137" max="4141" width="0" hidden="1" customWidth="1"/>
    <col min="4142" max="4142" width="5.08984375" customWidth="1"/>
    <col min="4143" max="4147" width="0" hidden="1" customWidth="1"/>
    <col min="4148" max="4148" width="4.81640625" customWidth="1"/>
    <col min="4149" max="4153" width="0" hidden="1" customWidth="1"/>
    <col min="4154" max="4154" width="4.81640625" customWidth="1"/>
    <col min="4155" max="4159" width="0" hidden="1" customWidth="1"/>
    <col min="4160" max="4160" width="5.453125" customWidth="1"/>
    <col min="4161" max="4165" width="0" hidden="1" customWidth="1"/>
    <col min="4166" max="4166" width="5.36328125" customWidth="1"/>
    <col min="4167" max="4171" width="0" hidden="1" customWidth="1"/>
    <col min="4172" max="4172" width="5.36328125" customWidth="1"/>
    <col min="4173" max="4173" width="4.36328125" customWidth="1"/>
    <col min="4174" max="4174" width="5.36328125" customWidth="1"/>
    <col min="4175" max="4175" width="4.36328125" customWidth="1"/>
    <col min="4176" max="4176" width="5.90625" customWidth="1"/>
    <col min="4177" max="4177" width="4.90625" customWidth="1"/>
    <col min="4178" max="4178" width="6.36328125" customWidth="1"/>
    <col min="4179" max="4179" width="5.90625" customWidth="1"/>
    <col min="4180" max="4180" width="11.36328125" customWidth="1"/>
    <col min="4353" max="4353" width="3.1796875" customWidth="1"/>
    <col min="4354" max="4354" width="4.08984375" customWidth="1"/>
    <col min="4355" max="4355" width="8.7265625" customWidth="1"/>
    <col min="4356" max="4356" width="11.26953125" bestFit="1" customWidth="1"/>
    <col min="4357" max="4361" width="0" hidden="1" customWidth="1"/>
    <col min="4362" max="4362" width="5" customWidth="1"/>
    <col min="4363" max="4367" width="0" hidden="1" customWidth="1"/>
    <col min="4368" max="4368" width="5.26953125" customWidth="1"/>
    <col min="4369" max="4373" width="0" hidden="1" customWidth="1"/>
    <col min="4374" max="4374" width="5.26953125" customWidth="1"/>
    <col min="4375" max="4379" width="0" hidden="1" customWidth="1"/>
    <col min="4380" max="4380" width="5.81640625" customWidth="1"/>
    <col min="4381" max="4385" width="0" hidden="1" customWidth="1"/>
    <col min="4386" max="4386" width="5.26953125" customWidth="1"/>
    <col min="4387" max="4391" width="0" hidden="1" customWidth="1"/>
    <col min="4392" max="4392" width="5" customWidth="1"/>
    <col min="4393" max="4397" width="0" hidden="1" customWidth="1"/>
    <col min="4398" max="4398" width="5.08984375" customWidth="1"/>
    <col min="4399" max="4403" width="0" hidden="1" customWidth="1"/>
    <col min="4404" max="4404" width="4.81640625" customWidth="1"/>
    <col min="4405" max="4409" width="0" hidden="1" customWidth="1"/>
    <col min="4410" max="4410" width="4.81640625" customWidth="1"/>
    <col min="4411" max="4415" width="0" hidden="1" customWidth="1"/>
    <col min="4416" max="4416" width="5.453125" customWidth="1"/>
    <col min="4417" max="4421" width="0" hidden="1" customWidth="1"/>
    <col min="4422" max="4422" width="5.36328125" customWidth="1"/>
    <col min="4423" max="4427" width="0" hidden="1" customWidth="1"/>
    <col min="4428" max="4428" width="5.36328125" customWidth="1"/>
    <col min="4429" max="4429" width="4.36328125" customWidth="1"/>
    <col min="4430" max="4430" width="5.36328125" customWidth="1"/>
    <col min="4431" max="4431" width="4.36328125" customWidth="1"/>
    <col min="4432" max="4432" width="5.90625" customWidth="1"/>
    <col min="4433" max="4433" width="4.90625" customWidth="1"/>
    <col min="4434" max="4434" width="6.36328125" customWidth="1"/>
    <col min="4435" max="4435" width="5.90625" customWidth="1"/>
    <col min="4436" max="4436" width="11.36328125" customWidth="1"/>
    <col min="4609" max="4609" width="3.1796875" customWidth="1"/>
    <col min="4610" max="4610" width="4.08984375" customWidth="1"/>
    <col min="4611" max="4611" width="8.7265625" customWidth="1"/>
    <col min="4612" max="4612" width="11.26953125" bestFit="1" customWidth="1"/>
    <col min="4613" max="4617" width="0" hidden="1" customWidth="1"/>
    <col min="4618" max="4618" width="5" customWidth="1"/>
    <col min="4619" max="4623" width="0" hidden="1" customWidth="1"/>
    <col min="4624" max="4624" width="5.26953125" customWidth="1"/>
    <col min="4625" max="4629" width="0" hidden="1" customWidth="1"/>
    <col min="4630" max="4630" width="5.26953125" customWidth="1"/>
    <col min="4631" max="4635" width="0" hidden="1" customWidth="1"/>
    <col min="4636" max="4636" width="5.81640625" customWidth="1"/>
    <col min="4637" max="4641" width="0" hidden="1" customWidth="1"/>
    <col min="4642" max="4642" width="5.26953125" customWidth="1"/>
    <col min="4643" max="4647" width="0" hidden="1" customWidth="1"/>
    <col min="4648" max="4648" width="5" customWidth="1"/>
    <col min="4649" max="4653" width="0" hidden="1" customWidth="1"/>
    <col min="4654" max="4654" width="5.08984375" customWidth="1"/>
    <col min="4655" max="4659" width="0" hidden="1" customWidth="1"/>
    <col min="4660" max="4660" width="4.81640625" customWidth="1"/>
    <col min="4661" max="4665" width="0" hidden="1" customWidth="1"/>
    <col min="4666" max="4666" width="4.81640625" customWidth="1"/>
    <col min="4667" max="4671" width="0" hidden="1" customWidth="1"/>
    <col min="4672" max="4672" width="5.453125" customWidth="1"/>
    <col min="4673" max="4677" width="0" hidden="1" customWidth="1"/>
    <col min="4678" max="4678" width="5.36328125" customWidth="1"/>
    <col min="4679" max="4683" width="0" hidden="1" customWidth="1"/>
    <col min="4684" max="4684" width="5.36328125" customWidth="1"/>
    <col min="4685" max="4685" width="4.36328125" customWidth="1"/>
    <col min="4686" max="4686" width="5.36328125" customWidth="1"/>
    <col min="4687" max="4687" width="4.36328125" customWidth="1"/>
    <col min="4688" max="4688" width="5.90625" customWidth="1"/>
    <col min="4689" max="4689" width="4.90625" customWidth="1"/>
    <col min="4690" max="4690" width="6.36328125" customWidth="1"/>
    <col min="4691" max="4691" width="5.90625" customWidth="1"/>
    <col min="4692" max="4692" width="11.36328125" customWidth="1"/>
    <col min="4865" max="4865" width="3.1796875" customWidth="1"/>
    <col min="4866" max="4866" width="4.08984375" customWidth="1"/>
    <col min="4867" max="4867" width="8.7265625" customWidth="1"/>
    <col min="4868" max="4868" width="11.26953125" bestFit="1" customWidth="1"/>
    <col min="4869" max="4873" width="0" hidden="1" customWidth="1"/>
    <col min="4874" max="4874" width="5" customWidth="1"/>
    <col min="4875" max="4879" width="0" hidden="1" customWidth="1"/>
    <col min="4880" max="4880" width="5.26953125" customWidth="1"/>
    <col min="4881" max="4885" width="0" hidden="1" customWidth="1"/>
    <col min="4886" max="4886" width="5.26953125" customWidth="1"/>
    <col min="4887" max="4891" width="0" hidden="1" customWidth="1"/>
    <col min="4892" max="4892" width="5.81640625" customWidth="1"/>
    <col min="4893" max="4897" width="0" hidden="1" customWidth="1"/>
    <col min="4898" max="4898" width="5.26953125" customWidth="1"/>
    <col min="4899" max="4903" width="0" hidden="1" customWidth="1"/>
    <col min="4904" max="4904" width="5" customWidth="1"/>
    <col min="4905" max="4909" width="0" hidden="1" customWidth="1"/>
    <col min="4910" max="4910" width="5.08984375" customWidth="1"/>
    <col min="4911" max="4915" width="0" hidden="1" customWidth="1"/>
    <col min="4916" max="4916" width="4.81640625" customWidth="1"/>
    <col min="4917" max="4921" width="0" hidden="1" customWidth="1"/>
    <col min="4922" max="4922" width="4.81640625" customWidth="1"/>
    <col min="4923" max="4927" width="0" hidden="1" customWidth="1"/>
    <col min="4928" max="4928" width="5.453125" customWidth="1"/>
    <col min="4929" max="4933" width="0" hidden="1" customWidth="1"/>
    <col min="4934" max="4934" width="5.36328125" customWidth="1"/>
    <col min="4935" max="4939" width="0" hidden="1" customWidth="1"/>
    <col min="4940" max="4940" width="5.36328125" customWidth="1"/>
    <col min="4941" max="4941" width="4.36328125" customWidth="1"/>
    <col min="4942" max="4942" width="5.36328125" customWidth="1"/>
    <col min="4943" max="4943" width="4.36328125" customWidth="1"/>
    <col min="4944" max="4944" width="5.90625" customWidth="1"/>
    <col min="4945" max="4945" width="4.90625" customWidth="1"/>
    <col min="4946" max="4946" width="6.36328125" customWidth="1"/>
    <col min="4947" max="4947" width="5.90625" customWidth="1"/>
    <col min="4948" max="4948" width="11.36328125" customWidth="1"/>
    <col min="5121" max="5121" width="3.1796875" customWidth="1"/>
    <col min="5122" max="5122" width="4.08984375" customWidth="1"/>
    <col min="5123" max="5123" width="8.7265625" customWidth="1"/>
    <col min="5124" max="5124" width="11.26953125" bestFit="1" customWidth="1"/>
    <col min="5125" max="5129" width="0" hidden="1" customWidth="1"/>
    <col min="5130" max="5130" width="5" customWidth="1"/>
    <col min="5131" max="5135" width="0" hidden="1" customWidth="1"/>
    <col min="5136" max="5136" width="5.26953125" customWidth="1"/>
    <col min="5137" max="5141" width="0" hidden="1" customWidth="1"/>
    <col min="5142" max="5142" width="5.26953125" customWidth="1"/>
    <col min="5143" max="5147" width="0" hidden="1" customWidth="1"/>
    <col min="5148" max="5148" width="5.81640625" customWidth="1"/>
    <col min="5149" max="5153" width="0" hidden="1" customWidth="1"/>
    <col min="5154" max="5154" width="5.26953125" customWidth="1"/>
    <col min="5155" max="5159" width="0" hidden="1" customWidth="1"/>
    <col min="5160" max="5160" width="5" customWidth="1"/>
    <col min="5161" max="5165" width="0" hidden="1" customWidth="1"/>
    <col min="5166" max="5166" width="5.08984375" customWidth="1"/>
    <col min="5167" max="5171" width="0" hidden="1" customWidth="1"/>
    <col min="5172" max="5172" width="4.81640625" customWidth="1"/>
    <col min="5173" max="5177" width="0" hidden="1" customWidth="1"/>
    <col min="5178" max="5178" width="4.81640625" customWidth="1"/>
    <col min="5179" max="5183" width="0" hidden="1" customWidth="1"/>
    <col min="5184" max="5184" width="5.453125" customWidth="1"/>
    <col min="5185" max="5189" width="0" hidden="1" customWidth="1"/>
    <col min="5190" max="5190" width="5.36328125" customWidth="1"/>
    <col min="5191" max="5195" width="0" hidden="1" customWidth="1"/>
    <col min="5196" max="5196" width="5.36328125" customWidth="1"/>
    <col min="5197" max="5197" width="4.36328125" customWidth="1"/>
    <col min="5198" max="5198" width="5.36328125" customWidth="1"/>
    <col min="5199" max="5199" width="4.36328125" customWidth="1"/>
    <col min="5200" max="5200" width="5.90625" customWidth="1"/>
    <col min="5201" max="5201" width="4.90625" customWidth="1"/>
    <col min="5202" max="5202" width="6.36328125" customWidth="1"/>
    <col min="5203" max="5203" width="5.90625" customWidth="1"/>
    <col min="5204" max="5204" width="11.36328125" customWidth="1"/>
    <col min="5377" max="5377" width="3.1796875" customWidth="1"/>
    <col min="5378" max="5378" width="4.08984375" customWidth="1"/>
    <col min="5379" max="5379" width="8.7265625" customWidth="1"/>
    <col min="5380" max="5380" width="11.26953125" bestFit="1" customWidth="1"/>
    <col min="5381" max="5385" width="0" hidden="1" customWidth="1"/>
    <col min="5386" max="5386" width="5" customWidth="1"/>
    <col min="5387" max="5391" width="0" hidden="1" customWidth="1"/>
    <col min="5392" max="5392" width="5.26953125" customWidth="1"/>
    <col min="5393" max="5397" width="0" hidden="1" customWidth="1"/>
    <col min="5398" max="5398" width="5.26953125" customWidth="1"/>
    <col min="5399" max="5403" width="0" hidden="1" customWidth="1"/>
    <col min="5404" max="5404" width="5.81640625" customWidth="1"/>
    <col min="5405" max="5409" width="0" hidden="1" customWidth="1"/>
    <col min="5410" max="5410" width="5.26953125" customWidth="1"/>
    <col min="5411" max="5415" width="0" hidden="1" customWidth="1"/>
    <col min="5416" max="5416" width="5" customWidth="1"/>
    <col min="5417" max="5421" width="0" hidden="1" customWidth="1"/>
    <col min="5422" max="5422" width="5.08984375" customWidth="1"/>
    <col min="5423" max="5427" width="0" hidden="1" customWidth="1"/>
    <col min="5428" max="5428" width="4.81640625" customWidth="1"/>
    <col min="5429" max="5433" width="0" hidden="1" customWidth="1"/>
    <col min="5434" max="5434" width="4.81640625" customWidth="1"/>
    <col min="5435" max="5439" width="0" hidden="1" customWidth="1"/>
    <col min="5440" max="5440" width="5.453125" customWidth="1"/>
    <col min="5441" max="5445" width="0" hidden="1" customWidth="1"/>
    <col min="5446" max="5446" width="5.36328125" customWidth="1"/>
    <col min="5447" max="5451" width="0" hidden="1" customWidth="1"/>
    <col min="5452" max="5452" width="5.36328125" customWidth="1"/>
    <col min="5453" max="5453" width="4.36328125" customWidth="1"/>
    <col min="5454" max="5454" width="5.36328125" customWidth="1"/>
    <col min="5455" max="5455" width="4.36328125" customWidth="1"/>
    <col min="5456" max="5456" width="5.90625" customWidth="1"/>
    <col min="5457" max="5457" width="4.90625" customWidth="1"/>
    <col min="5458" max="5458" width="6.36328125" customWidth="1"/>
    <col min="5459" max="5459" width="5.90625" customWidth="1"/>
    <col min="5460" max="5460" width="11.36328125" customWidth="1"/>
    <col min="5633" max="5633" width="3.1796875" customWidth="1"/>
    <col min="5634" max="5634" width="4.08984375" customWidth="1"/>
    <col min="5635" max="5635" width="8.7265625" customWidth="1"/>
    <col min="5636" max="5636" width="11.26953125" bestFit="1" customWidth="1"/>
    <col min="5637" max="5641" width="0" hidden="1" customWidth="1"/>
    <col min="5642" max="5642" width="5" customWidth="1"/>
    <col min="5643" max="5647" width="0" hidden="1" customWidth="1"/>
    <col min="5648" max="5648" width="5.26953125" customWidth="1"/>
    <col min="5649" max="5653" width="0" hidden="1" customWidth="1"/>
    <col min="5654" max="5654" width="5.26953125" customWidth="1"/>
    <col min="5655" max="5659" width="0" hidden="1" customWidth="1"/>
    <col min="5660" max="5660" width="5.81640625" customWidth="1"/>
    <col min="5661" max="5665" width="0" hidden="1" customWidth="1"/>
    <col min="5666" max="5666" width="5.26953125" customWidth="1"/>
    <col min="5667" max="5671" width="0" hidden="1" customWidth="1"/>
    <col min="5672" max="5672" width="5" customWidth="1"/>
    <col min="5673" max="5677" width="0" hidden="1" customWidth="1"/>
    <col min="5678" max="5678" width="5.08984375" customWidth="1"/>
    <col min="5679" max="5683" width="0" hidden="1" customWidth="1"/>
    <col min="5684" max="5684" width="4.81640625" customWidth="1"/>
    <col min="5685" max="5689" width="0" hidden="1" customWidth="1"/>
    <col min="5690" max="5690" width="4.81640625" customWidth="1"/>
    <col min="5691" max="5695" width="0" hidden="1" customWidth="1"/>
    <col min="5696" max="5696" width="5.453125" customWidth="1"/>
    <col min="5697" max="5701" width="0" hidden="1" customWidth="1"/>
    <col min="5702" max="5702" width="5.36328125" customWidth="1"/>
    <col min="5703" max="5707" width="0" hidden="1" customWidth="1"/>
    <col min="5708" max="5708" width="5.36328125" customWidth="1"/>
    <col min="5709" max="5709" width="4.36328125" customWidth="1"/>
    <col min="5710" max="5710" width="5.36328125" customWidth="1"/>
    <col min="5711" max="5711" width="4.36328125" customWidth="1"/>
    <col min="5712" max="5712" width="5.90625" customWidth="1"/>
    <col min="5713" max="5713" width="4.90625" customWidth="1"/>
    <col min="5714" max="5714" width="6.36328125" customWidth="1"/>
    <col min="5715" max="5715" width="5.90625" customWidth="1"/>
    <col min="5716" max="5716" width="11.36328125" customWidth="1"/>
    <col min="5889" max="5889" width="3.1796875" customWidth="1"/>
    <col min="5890" max="5890" width="4.08984375" customWidth="1"/>
    <col min="5891" max="5891" width="8.7265625" customWidth="1"/>
    <col min="5892" max="5892" width="11.26953125" bestFit="1" customWidth="1"/>
    <col min="5893" max="5897" width="0" hidden="1" customWidth="1"/>
    <col min="5898" max="5898" width="5" customWidth="1"/>
    <col min="5899" max="5903" width="0" hidden="1" customWidth="1"/>
    <col min="5904" max="5904" width="5.26953125" customWidth="1"/>
    <col min="5905" max="5909" width="0" hidden="1" customWidth="1"/>
    <col min="5910" max="5910" width="5.26953125" customWidth="1"/>
    <col min="5911" max="5915" width="0" hidden="1" customWidth="1"/>
    <col min="5916" max="5916" width="5.81640625" customWidth="1"/>
    <col min="5917" max="5921" width="0" hidden="1" customWidth="1"/>
    <col min="5922" max="5922" width="5.26953125" customWidth="1"/>
    <col min="5923" max="5927" width="0" hidden="1" customWidth="1"/>
    <col min="5928" max="5928" width="5" customWidth="1"/>
    <col min="5929" max="5933" width="0" hidden="1" customWidth="1"/>
    <col min="5934" max="5934" width="5.08984375" customWidth="1"/>
    <col min="5935" max="5939" width="0" hidden="1" customWidth="1"/>
    <col min="5940" max="5940" width="4.81640625" customWidth="1"/>
    <col min="5941" max="5945" width="0" hidden="1" customWidth="1"/>
    <col min="5946" max="5946" width="4.81640625" customWidth="1"/>
    <col min="5947" max="5951" width="0" hidden="1" customWidth="1"/>
    <col min="5952" max="5952" width="5.453125" customWidth="1"/>
    <col min="5953" max="5957" width="0" hidden="1" customWidth="1"/>
    <col min="5958" max="5958" width="5.36328125" customWidth="1"/>
    <col min="5959" max="5963" width="0" hidden="1" customWidth="1"/>
    <col min="5964" max="5964" width="5.36328125" customWidth="1"/>
    <col min="5965" max="5965" width="4.36328125" customWidth="1"/>
    <col min="5966" max="5966" width="5.36328125" customWidth="1"/>
    <col min="5967" max="5967" width="4.36328125" customWidth="1"/>
    <col min="5968" max="5968" width="5.90625" customWidth="1"/>
    <col min="5969" max="5969" width="4.90625" customWidth="1"/>
    <col min="5970" max="5970" width="6.36328125" customWidth="1"/>
    <col min="5971" max="5971" width="5.90625" customWidth="1"/>
    <col min="5972" max="5972" width="11.36328125" customWidth="1"/>
    <col min="6145" max="6145" width="3.1796875" customWidth="1"/>
    <col min="6146" max="6146" width="4.08984375" customWidth="1"/>
    <col min="6147" max="6147" width="8.7265625" customWidth="1"/>
    <col min="6148" max="6148" width="11.26953125" bestFit="1" customWidth="1"/>
    <col min="6149" max="6153" width="0" hidden="1" customWidth="1"/>
    <col min="6154" max="6154" width="5" customWidth="1"/>
    <col min="6155" max="6159" width="0" hidden="1" customWidth="1"/>
    <col min="6160" max="6160" width="5.26953125" customWidth="1"/>
    <col min="6161" max="6165" width="0" hidden="1" customWidth="1"/>
    <col min="6166" max="6166" width="5.26953125" customWidth="1"/>
    <col min="6167" max="6171" width="0" hidden="1" customWidth="1"/>
    <col min="6172" max="6172" width="5.81640625" customWidth="1"/>
    <col min="6173" max="6177" width="0" hidden="1" customWidth="1"/>
    <col min="6178" max="6178" width="5.26953125" customWidth="1"/>
    <col min="6179" max="6183" width="0" hidden="1" customWidth="1"/>
    <col min="6184" max="6184" width="5" customWidth="1"/>
    <col min="6185" max="6189" width="0" hidden="1" customWidth="1"/>
    <col min="6190" max="6190" width="5.08984375" customWidth="1"/>
    <col min="6191" max="6195" width="0" hidden="1" customWidth="1"/>
    <col min="6196" max="6196" width="4.81640625" customWidth="1"/>
    <col min="6197" max="6201" width="0" hidden="1" customWidth="1"/>
    <col min="6202" max="6202" width="4.81640625" customWidth="1"/>
    <col min="6203" max="6207" width="0" hidden="1" customWidth="1"/>
    <col min="6208" max="6208" width="5.453125" customWidth="1"/>
    <col min="6209" max="6213" width="0" hidden="1" customWidth="1"/>
    <col min="6214" max="6214" width="5.36328125" customWidth="1"/>
    <col min="6215" max="6219" width="0" hidden="1" customWidth="1"/>
    <col min="6220" max="6220" width="5.36328125" customWidth="1"/>
    <col min="6221" max="6221" width="4.36328125" customWidth="1"/>
    <col min="6222" max="6222" width="5.36328125" customWidth="1"/>
    <col min="6223" max="6223" width="4.36328125" customWidth="1"/>
    <col min="6224" max="6224" width="5.90625" customWidth="1"/>
    <col min="6225" max="6225" width="4.90625" customWidth="1"/>
    <col min="6226" max="6226" width="6.36328125" customWidth="1"/>
    <col min="6227" max="6227" width="5.90625" customWidth="1"/>
    <col min="6228" max="6228" width="11.36328125" customWidth="1"/>
    <col min="6401" max="6401" width="3.1796875" customWidth="1"/>
    <col min="6402" max="6402" width="4.08984375" customWidth="1"/>
    <col min="6403" max="6403" width="8.7265625" customWidth="1"/>
    <col min="6404" max="6404" width="11.26953125" bestFit="1" customWidth="1"/>
    <col min="6405" max="6409" width="0" hidden="1" customWidth="1"/>
    <col min="6410" max="6410" width="5" customWidth="1"/>
    <col min="6411" max="6415" width="0" hidden="1" customWidth="1"/>
    <col min="6416" max="6416" width="5.26953125" customWidth="1"/>
    <col min="6417" max="6421" width="0" hidden="1" customWidth="1"/>
    <col min="6422" max="6422" width="5.26953125" customWidth="1"/>
    <col min="6423" max="6427" width="0" hidden="1" customWidth="1"/>
    <col min="6428" max="6428" width="5.81640625" customWidth="1"/>
    <col min="6429" max="6433" width="0" hidden="1" customWidth="1"/>
    <col min="6434" max="6434" width="5.26953125" customWidth="1"/>
    <col min="6435" max="6439" width="0" hidden="1" customWidth="1"/>
    <col min="6440" max="6440" width="5" customWidth="1"/>
    <col min="6441" max="6445" width="0" hidden="1" customWidth="1"/>
    <col min="6446" max="6446" width="5.08984375" customWidth="1"/>
    <col min="6447" max="6451" width="0" hidden="1" customWidth="1"/>
    <col min="6452" max="6452" width="4.81640625" customWidth="1"/>
    <col min="6453" max="6457" width="0" hidden="1" customWidth="1"/>
    <col min="6458" max="6458" width="4.81640625" customWidth="1"/>
    <col min="6459" max="6463" width="0" hidden="1" customWidth="1"/>
    <col min="6464" max="6464" width="5.453125" customWidth="1"/>
    <col min="6465" max="6469" width="0" hidden="1" customWidth="1"/>
    <col min="6470" max="6470" width="5.36328125" customWidth="1"/>
    <col min="6471" max="6475" width="0" hidden="1" customWidth="1"/>
    <col min="6476" max="6476" width="5.36328125" customWidth="1"/>
    <col min="6477" max="6477" width="4.36328125" customWidth="1"/>
    <col min="6478" max="6478" width="5.36328125" customWidth="1"/>
    <col min="6479" max="6479" width="4.36328125" customWidth="1"/>
    <col min="6480" max="6480" width="5.90625" customWidth="1"/>
    <col min="6481" max="6481" width="4.90625" customWidth="1"/>
    <col min="6482" max="6482" width="6.36328125" customWidth="1"/>
    <col min="6483" max="6483" width="5.90625" customWidth="1"/>
    <col min="6484" max="6484" width="11.36328125" customWidth="1"/>
    <col min="6657" max="6657" width="3.1796875" customWidth="1"/>
    <col min="6658" max="6658" width="4.08984375" customWidth="1"/>
    <col min="6659" max="6659" width="8.7265625" customWidth="1"/>
    <col min="6660" max="6660" width="11.26953125" bestFit="1" customWidth="1"/>
    <col min="6661" max="6665" width="0" hidden="1" customWidth="1"/>
    <col min="6666" max="6666" width="5" customWidth="1"/>
    <col min="6667" max="6671" width="0" hidden="1" customWidth="1"/>
    <col min="6672" max="6672" width="5.26953125" customWidth="1"/>
    <col min="6673" max="6677" width="0" hidden="1" customWidth="1"/>
    <col min="6678" max="6678" width="5.26953125" customWidth="1"/>
    <col min="6679" max="6683" width="0" hidden="1" customWidth="1"/>
    <col min="6684" max="6684" width="5.81640625" customWidth="1"/>
    <col min="6685" max="6689" width="0" hidden="1" customWidth="1"/>
    <col min="6690" max="6690" width="5.26953125" customWidth="1"/>
    <col min="6691" max="6695" width="0" hidden="1" customWidth="1"/>
    <col min="6696" max="6696" width="5" customWidth="1"/>
    <col min="6697" max="6701" width="0" hidden="1" customWidth="1"/>
    <col min="6702" max="6702" width="5.08984375" customWidth="1"/>
    <col min="6703" max="6707" width="0" hidden="1" customWidth="1"/>
    <col min="6708" max="6708" width="4.81640625" customWidth="1"/>
    <col min="6709" max="6713" width="0" hidden="1" customWidth="1"/>
    <col min="6714" max="6714" width="4.81640625" customWidth="1"/>
    <col min="6715" max="6719" width="0" hidden="1" customWidth="1"/>
    <col min="6720" max="6720" width="5.453125" customWidth="1"/>
    <col min="6721" max="6725" width="0" hidden="1" customWidth="1"/>
    <col min="6726" max="6726" width="5.36328125" customWidth="1"/>
    <col min="6727" max="6731" width="0" hidden="1" customWidth="1"/>
    <col min="6732" max="6732" width="5.36328125" customWidth="1"/>
    <col min="6733" max="6733" width="4.36328125" customWidth="1"/>
    <col min="6734" max="6734" width="5.36328125" customWidth="1"/>
    <col min="6735" max="6735" width="4.36328125" customWidth="1"/>
    <col min="6736" max="6736" width="5.90625" customWidth="1"/>
    <col min="6737" max="6737" width="4.90625" customWidth="1"/>
    <col min="6738" max="6738" width="6.36328125" customWidth="1"/>
    <col min="6739" max="6739" width="5.90625" customWidth="1"/>
    <col min="6740" max="6740" width="11.36328125" customWidth="1"/>
    <col min="6913" max="6913" width="3.1796875" customWidth="1"/>
    <col min="6914" max="6914" width="4.08984375" customWidth="1"/>
    <col min="6915" max="6915" width="8.7265625" customWidth="1"/>
    <col min="6916" max="6916" width="11.26953125" bestFit="1" customWidth="1"/>
    <col min="6917" max="6921" width="0" hidden="1" customWidth="1"/>
    <col min="6922" max="6922" width="5" customWidth="1"/>
    <col min="6923" max="6927" width="0" hidden="1" customWidth="1"/>
    <col min="6928" max="6928" width="5.26953125" customWidth="1"/>
    <col min="6929" max="6933" width="0" hidden="1" customWidth="1"/>
    <col min="6934" max="6934" width="5.26953125" customWidth="1"/>
    <col min="6935" max="6939" width="0" hidden="1" customWidth="1"/>
    <col min="6940" max="6940" width="5.81640625" customWidth="1"/>
    <col min="6941" max="6945" width="0" hidden="1" customWidth="1"/>
    <col min="6946" max="6946" width="5.26953125" customWidth="1"/>
    <col min="6947" max="6951" width="0" hidden="1" customWidth="1"/>
    <col min="6952" max="6952" width="5" customWidth="1"/>
    <col min="6953" max="6957" width="0" hidden="1" customWidth="1"/>
    <col min="6958" max="6958" width="5.08984375" customWidth="1"/>
    <col min="6959" max="6963" width="0" hidden="1" customWidth="1"/>
    <col min="6964" max="6964" width="4.81640625" customWidth="1"/>
    <col min="6965" max="6969" width="0" hidden="1" customWidth="1"/>
    <col min="6970" max="6970" width="4.81640625" customWidth="1"/>
    <col min="6971" max="6975" width="0" hidden="1" customWidth="1"/>
    <col min="6976" max="6976" width="5.453125" customWidth="1"/>
    <col min="6977" max="6981" width="0" hidden="1" customWidth="1"/>
    <col min="6982" max="6982" width="5.36328125" customWidth="1"/>
    <col min="6983" max="6987" width="0" hidden="1" customWidth="1"/>
    <col min="6988" max="6988" width="5.36328125" customWidth="1"/>
    <col min="6989" max="6989" width="4.36328125" customWidth="1"/>
    <col min="6990" max="6990" width="5.36328125" customWidth="1"/>
    <col min="6991" max="6991" width="4.36328125" customWidth="1"/>
    <col min="6992" max="6992" width="5.90625" customWidth="1"/>
    <col min="6993" max="6993" width="4.90625" customWidth="1"/>
    <col min="6994" max="6994" width="6.36328125" customWidth="1"/>
    <col min="6995" max="6995" width="5.90625" customWidth="1"/>
    <col min="6996" max="6996" width="11.36328125" customWidth="1"/>
    <col min="7169" max="7169" width="3.1796875" customWidth="1"/>
    <col min="7170" max="7170" width="4.08984375" customWidth="1"/>
    <col min="7171" max="7171" width="8.7265625" customWidth="1"/>
    <col min="7172" max="7172" width="11.26953125" bestFit="1" customWidth="1"/>
    <col min="7173" max="7177" width="0" hidden="1" customWidth="1"/>
    <col min="7178" max="7178" width="5" customWidth="1"/>
    <col min="7179" max="7183" width="0" hidden="1" customWidth="1"/>
    <col min="7184" max="7184" width="5.26953125" customWidth="1"/>
    <col min="7185" max="7189" width="0" hidden="1" customWidth="1"/>
    <col min="7190" max="7190" width="5.26953125" customWidth="1"/>
    <col min="7191" max="7195" width="0" hidden="1" customWidth="1"/>
    <col min="7196" max="7196" width="5.81640625" customWidth="1"/>
    <col min="7197" max="7201" width="0" hidden="1" customWidth="1"/>
    <col min="7202" max="7202" width="5.26953125" customWidth="1"/>
    <col min="7203" max="7207" width="0" hidden="1" customWidth="1"/>
    <col min="7208" max="7208" width="5" customWidth="1"/>
    <col min="7209" max="7213" width="0" hidden="1" customWidth="1"/>
    <col min="7214" max="7214" width="5.08984375" customWidth="1"/>
    <col min="7215" max="7219" width="0" hidden="1" customWidth="1"/>
    <col min="7220" max="7220" width="4.81640625" customWidth="1"/>
    <col min="7221" max="7225" width="0" hidden="1" customWidth="1"/>
    <col min="7226" max="7226" width="4.81640625" customWidth="1"/>
    <col min="7227" max="7231" width="0" hidden="1" customWidth="1"/>
    <col min="7232" max="7232" width="5.453125" customWidth="1"/>
    <col min="7233" max="7237" width="0" hidden="1" customWidth="1"/>
    <col min="7238" max="7238" width="5.36328125" customWidth="1"/>
    <col min="7239" max="7243" width="0" hidden="1" customWidth="1"/>
    <col min="7244" max="7244" width="5.36328125" customWidth="1"/>
    <col min="7245" max="7245" width="4.36328125" customWidth="1"/>
    <col min="7246" max="7246" width="5.36328125" customWidth="1"/>
    <col min="7247" max="7247" width="4.36328125" customWidth="1"/>
    <col min="7248" max="7248" width="5.90625" customWidth="1"/>
    <col min="7249" max="7249" width="4.90625" customWidth="1"/>
    <col min="7250" max="7250" width="6.36328125" customWidth="1"/>
    <col min="7251" max="7251" width="5.90625" customWidth="1"/>
    <col min="7252" max="7252" width="11.36328125" customWidth="1"/>
    <col min="7425" max="7425" width="3.1796875" customWidth="1"/>
    <col min="7426" max="7426" width="4.08984375" customWidth="1"/>
    <col min="7427" max="7427" width="8.7265625" customWidth="1"/>
    <col min="7428" max="7428" width="11.26953125" bestFit="1" customWidth="1"/>
    <col min="7429" max="7433" width="0" hidden="1" customWidth="1"/>
    <col min="7434" max="7434" width="5" customWidth="1"/>
    <col min="7435" max="7439" width="0" hidden="1" customWidth="1"/>
    <col min="7440" max="7440" width="5.26953125" customWidth="1"/>
    <col min="7441" max="7445" width="0" hidden="1" customWidth="1"/>
    <col min="7446" max="7446" width="5.26953125" customWidth="1"/>
    <col min="7447" max="7451" width="0" hidden="1" customWidth="1"/>
    <col min="7452" max="7452" width="5.81640625" customWidth="1"/>
    <col min="7453" max="7457" width="0" hidden="1" customWidth="1"/>
    <col min="7458" max="7458" width="5.26953125" customWidth="1"/>
    <col min="7459" max="7463" width="0" hidden="1" customWidth="1"/>
    <col min="7464" max="7464" width="5" customWidth="1"/>
    <col min="7465" max="7469" width="0" hidden="1" customWidth="1"/>
    <col min="7470" max="7470" width="5.08984375" customWidth="1"/>
    <col min="7471" max="7475" width="0" hidden="1" customWidth="1"/>
    <col min="7476" max="7476" width="4.81640625" customWidth="1"/>
    <col min="7477" max="7481" width="0" hidden="1" customWidth="1"/>
    <col min="7482" max="7482" width="4.81640625" customWidth="1"/>
    <col min="7483" max="7487" width="0" hidden="1" customWidth="1"/>
    <col min="7488" max="7488" width="5.453125" customWidth="1"/>
    <col min="7489" max="7493" width="0" hidden="1" customWidth="1"/>
    <col min="7494" max="7494" width="5.36328125" customWidth="1"/>
    <col min="7495" max="7499" width="0" hidden="1" customWidth="1"/>
    <col min="7500" max="7500" width="5.36328125" customWidth="1"/>
    <col min="7501" max="7501" width="4.36328125" customWidth="1"/>
    <col min="7502" max="7502" width="5.36328125" customWidth="1"/>
    <col min="7503" max="7503" width="4.36328125" customWidth="1"/>
    <col min="7504" max="7504" width="5.90625" customWidth="1"/>
    <col min="7505" max="7505" width="4.90625" customWidth="1"/>
    <col min="7506" max="7506" width="6.36328125" customWidth="1"/>
    <col min="7507" max="7507" width="5.90625" customWidth="1"/>
    <col min="7508" max="7508" width="11.36328125" customWidth="1"/>
    <col min="7681" max="7681" width="3.1796875" customWidth="1"/>
    <col min="7682" max="7682" width="4.08984375" customWidth="1"/>
    <col min="7683" max="7683" width="8.7265625" customWidth="1"/>
    <col min="7684" max="7684" width="11.26953125" bestFit="1" customWidth="1"/>
    <col min="7685" max="7689" width="0" hidden="1" customWidth="1"/>
    <col min="7690" max="7690" width="5" customWidth="1"/>
    <col min="7691" max="7695" width="0" hidden="1" customWidth="1"/>
    <col min="7696" max="7696" width="5.26953125" customWidth="1"/>
    <col min="7697" max="7701" width="0" hidden="1" customWidth="1"/>
    <col min="7702" max="7702" width="5.26953125" customWidth="1"/>
    <col min="7703" max="7707" width="0" hidden="1" customWidth="1"/>
    <col min="7708" max="7708" width="5.81640625" customWidth="1"/>
    <col min="7709" max="7713" width="0" hidden="1" customWidth="1"/>
    <col min="7714" max="7714" width="5.26953125" customWidth="1"/>
    <col min="7715" max="7719" width="0" hidden="1" customWidth="1"/>
    <col min="7720" max="7720" width="5" customWidth="1"/>
    <col min="7721" max="7725" width="0" hidden="1" customWidth="1"/>
    <col min="7726" max="7726" width="5.08984375" customWidth="1"/>
    <col min="7727" max="7731" width="0" hidden="1" customWidth="1"/>
    <col min="7732" max="7732" width="4.81640625" customWidth="1"/>
    <col min="7733" max="7737" width="0" hidden="1" customWidth="1"/>
    <col min="7738" max="7738" width="4.81640625" customWidth="1"/>
    <col min="7739" max="7743" width="0" hidden="1" customWidth="1"/>
    <col min="7744" max="7744" width="5.453125" customWidth="1"/>
    <col min="7745" max="7749" width="0" hidden="1" customWidth="1"/>
    <col min="7750" max="7750" width="5.36328125" customWidth="1"/>
    <col min="7751" max="7755" width="0" hidden="1" customWidth="1"/>
    <col min="7756" max="7756" width="5.36328125" customWidth="1"/>
    <col min="7757" max="7757" width="4.36328125" customWidth="1"/>
    <col min="7758" max="7758" width="5.36328125" customWidth="1"/>
    <col min="7759" max="7759" width="4.36328125" customWidth="1"/>
    <col min="7760" max="7760" width="5.90625" customWidth="1"/>
    <col min="7761" max="7761" width="4.90625" customWidth="1"/>
    <col min="7762" max="7762" width="6.36328125" customWidth="1"/>
    <col min="7763" max="7763" width="5.90625" customWidth="1"/>
    <col min="7764" max="7764" width="11.36328125" customWidth="1"/>
    <col min="7937" max="7937" width="3.1796875" customWidth="1"/>
    <col min="7938" max="7938" width="4.08984375" customWidth="1"/>
    <col min="7939" max="7939" width="8.7265625" customWidth="1"/>
    <col min="7940" max="7940" width="11.26953125" bestFit="1" customWidth="1"/>
    <col min="7941" max="7945" width="0" hidden="1" customWidth="1"/>
    <col min="7946" max="7946" width="5" customWidth="1"/>
    <col min="7947" max="7951" width="0" hidden="1" customWidth="1"/>
    <col min="7952" max="7952" width="5.26953125" customWidth="1"/>
    <col min="7953" max="7957" width="0" hidden="1" customWidth="1"/>
    <col min="7958" max="7958" width="5.26953125" customWidth="1"/>
    <col min="7959" max="7963" width="0" hidden="1" customWidth="1"/>
    <col min="7964" max="7964" width="5.81640625" customWidth="1"/>
    <col min="7965" max="7969" width="0" hidden="1" customWidth="1"/>
    <col min="7970" max="7970" width="5.26953125" customWidth="1"/>
    <col min="7971" max="7975" width="0" hidden="1" customWidth="1"/>
    <col min="7976" max="7976" width="5" customWidth="1"/>
    <col min="7977" max="7981" width="0" hidden="1" customWidth="1"/>
    <col min="7982" max="7982" width="5.08984375" customWidth="1"/>
    <col min="7983" max="7987" width="0" hidden="1" customWidth="1"/>
    <col min="7988" max="7988" width="4.81640625" customWidth="1"/>
    <col min="7989" max="7993" width="0" hidden="1" customWidth="1"/>
    <col min="7994" max="7994" width="4.81640625" customWidth="1"/>
    <col min="7995" max="7999" width="0" hidden="1" customWidth="1"/>
    <col min="8000" max="8000" width="5.453125" customWidth="1"/>
    <col min="8001" max="8005" width="0" hidden="1" customWidth="1"/>
    <col min="8006" max="8006" width="5.36328125" customWidth="1"/>
    <col min="8007" max="8011" width="0" hidden="1" customWidth="1"/>
    <col min="8012" max="8012" width="5.36328125" customWidth="1"/>
    <col min="8013" max="8013" width="4.36328125" customWidth="1"/>
    <col min="8014" max="8014" width="5.36328125" customWidth="1"/>
    <col min="8015" max="8015" width="4.36328125" customWidth="1"/>
    <col min="8016" max="8016" width="5.90625" customWidth="1"/>
    <col min="8017" max="8017" width="4.90625" customWidth="1"/>
    <col min="8018" max="8018" width="6.36328125" customWidth="1"/>
    <col min="8019" max="8019" width="5.90625" customWidth="1"/>
    <col min="8020" max="8020" width="11.36328125" customWidth="1"/>
    <col min="8193" max="8193" width="3.1796875" customWidth="1"/>
    <col min="8194" max="8194" width="4.08984375" customWidth="1"/>
    <col min="8195" max="8195" width="8.7265625" customWidth="1"/>
    <col min="8196" max="8196" width="11.26953125" bestFit="1" customWidth="1"/>
    <col min="8197" max="8201" width="0" hidden="1" customWidth="1"/>
    <col min="8202" max="8202" width="5" customWidth="1"/>
    <col min="8203" max="8207" width="0" hidden="1" customWidth="1"/>
    <col min="8208" max="8208" width="5.26953125" customWidth="1"/>
    <col min="8209" max="8213" width="0" hidden="1" customWidth="1"/>
    <col min="8214" max="8214" width="5.26953125" customWidth="1"/>
    <col min="8215" max="8219" width="0" hidden="1" customWidth="1"/>
    <col min="8220" max="8220" width="5.81640625" customWidth="1"/>
    <col min="8221" max="8225" width="0" hidden="1" customWidth="1"/>
    <col min="8226" max="8226" width="5.26953125" customWidth="1"/>
    <col min="8227" max="8231" width="0" hidden="1" customWidth="1"/>
    <col min="8232" max="8232" width="5" customWidth="1"/>
    <col min="8233" max="8237" width="0" hidden="1" customWidth="1"/>
    <col min="8238" max="8238" width="5.08984375" customWidth="1"/>
    <col min="8239" max="8243" width="0" hidden="1" customWidth="1"/>
    <col min="8244" max="8244" width="4.81640625" customWidth="1"/>
    <col min="8245" max="8249" width="0" hidden="1" customWidth="1"/>
    <col min="8250" max="8250" width="4.81640625" customWidth="1"/>
    <col min="8251" max="8255" width="0" hidden="1" customWidth="1"/>
    <col min="8256" max="8256" width="5.453125" customWidth="1"/>
    <col min="8257" max="8261" width="0" hidden="1" customWidth="1"/>
    <col min="8262" max="8262" width="5.36328125" customWidth="1"/>
    <col min="8263" max="8267" width="0" hidden="1" customWidth="1"/>
    <col min="8268" max="8268" width="5.36328125" customWidth="1"/>
    <col min="8269" max="8269" width="4.36328125" customWidth="1"/>
    <col min="8270" max="8270" width="5.36328125" customWidth="1"/>
    <col min="8271" max="8271" width="4.36328125" customWidth="1"/>
    <col min="8272" max="8272" width="5.90625" customWidth="1"/>
    <col min="8273" max="8273" width="4.90625" customWidth="1"/>
    <col min="8274" max="8274" width="6.36328125" customWidth="1"/>
    <col min="8275" max="8275" width="5.90625" customWidth="1"/>
    <col min="8276" max="8276" width="11.36328125" customWidth="1"/>
    <col min="8449" max="8449" width="3.1796875" customWidth="1"/>
    <col min="8450" max="8450" width="4.08984375" customWidth="1"/>
    <col min="8451" max="8451" width="8.7265625" customWidth="1"/>
    <col min="8452" max="8452" width="11.26953125" bestFit="1" customWidth="1"/>
    <col min="8453" max="8457" width="0" hidden="1" customWidth="1"/>
    <col min="8458" max="8458" width="5" customWidth="1"/>
    <col min="8459" max="8463" width="0" hidden="1" customWidth="1"/>
    <col min="8464" max="8464" width="5.26953125" customWidth="1"/>
    <col min="8465" max="8469" width="0" hidden="1" customWidth="1"/>
    <col min="8470" max="8470" width="5.26953125" customWidth="1"/>
    <col min="8471" max="8475" width="0" hidden="1" customWidth="1"/>
    <col min="8476" max="8476" width="5.81640625" customWidth="1"/>
    <col min="8477" max="8481" width="0" hidden="1" customWidth="1"/>
    <col min="8482" max="8482" width="5.26953125" customWidth="1"/>
    <col min="8483" max="8487" width="0" hidden="1" customWidth="1"/>
    <col min="8488" max="8488" width="5" customWidth="1"/>
    <col min="8489" max="8493" width="0" hidden="1" customWidth="1"/>
    <col min="8494" max="8494" width="5.08984375" customWidth="1"/>
    <col min="8495" max="8499" width="0" hidden="1" customWidth="1"/>
    <col min="8500" max="8500" width="4.81640625" customWidth="1"/>
    <col min="8501" max="8505" width="0" hidden="1" customWidth="1"/>
    <col min="8506" max="8506" width="4.81640625" customWidth="1"/>
    <col min="8507" max="8511" width="0" hidden="1" customWidth="1"/>
    <col min="8512" max="8512" width="5.453125" customWidth="1"/>
    <col min="8513" max="8517" width="0" hidden="1" customWidth="1"/>
    <col min="8518" max="8518" width="5.36328125" customWidth="1"/>
    <col min="8519" max="8523" width="0" hidden="1" customWidth="1"/>
    <col min="8524" max="8524" width="5.36328125" customWidth="1"/>
    <col min="8525" max="8525" width="4.36328125" customWidth="1"/>
    <col min="8526" max="8526" width="5.36328125" customWidth="1"/>
    <col min="8527" max="8527" width="4.36328125" customWidth="1"/>
    <col min="8528" max="8528" width="5.90625" customWidth="1"/>
    <col min="8529" max="8529" width="4.90625" customWidth="1"/>
    <col min="8530" max="8530" width="6.36328125" customWidth="1"/>
    <col min="8531" max="8531" width="5.90625" customWidth="1"/>
    <col min="8532" max="8532" width="11.36328125" customWidth="1"/>
    <col min="8705" max="8705" width="3.1796875" customWidth="1"/>
    <col min="8706" max="8706" width="4.08984375" customWidth="1"/>
    <col min="8707" max="8707" width="8.7265625" customWidth="1"/>
    <col min="8708" max="8708" width="11.26953125" bestFit="1" customWidth="1"/>
    <col min="8709" max="8713" width="0" hidden="1" customWidth="1"/>
    <col min="8714" max="8714" width="5" customWidth="1"/>
    <col min="8715" max="8719" width="0" hidden="1" customWidth="1"/>
    <col min="8720" max="8720" width="5.26953125" customWidth="1"/>
    <col min="8721" max="8725" width="0" hidden="1" customWidth="1"/>
    <col min="8726" max="8726" width="5.26953125" customWidth="1"/>
    <col min="8727" max="8731" width="0" hidden="1" customWidth="1"/>
    <col min="8732" max="8732" width="5.81640625" customWidth="1"/>
    <col min="8733" max="8737" width="0" hidden="1" customWidth="1"/>
    <col min="8738" max="8738" width="5.26953125" customWidth="1"/>
    <col min="8739" max="8743" width="0" hidden="1" customWidth="1"/>
    <col min="8744" max="8744" width="5" customWidth="1"/>
    <col min="8745" max="8749" width="0" hidden="1" customWidth="1"/>
    <col min="8750" max="8750" width="5.08984375" customWidth="1"/>
    <col min="8751" max="8755" width="0" hidden="1" customWidth="1"/>
    <col min="8756" max="8756" width="4.81640625" customWidth="1"/>
    <col min="8757" max="8761" width="0" hidden="1" customWidth="1"/>
    <col min="8762" max="8762" width="4.81640625" customWidth="1"/>
    <col min="8763" max="8767" width="0" hidden="1" customWidth="1"/>
    <col min="8768" max="8768" width="5.453125" customWidth="1"/>
    <col min="8769" max="8773" width="0" hidden="1" customWidth="1"/>
    <col min="8774" max="8774" width="5.36328125" customWidth="1"/>
    <col min="8775" max="8779" width="0" hidden="1" customWidth="1"/>
    <col min="8780" max="8780" width="5.36328125" customWidth="1"/>
    <col min="8781" max="8781" width="4.36328125" customWidth="1"/>
    <col min="8782" max="8782" width="5.36328125" customWidth="1"/>
    <col min="8783" max="8783" width="4.36328125" customWidth="1"/>
    <col min="8784" max="8784" width="5.90625" customWidth="1"/>
    <col min="8785" max="8785" width="4.90625" customWidth="1"/>
    <col min="8786" max="8786" width="6.36328125" customWidth="1"/>
    <col min="8787" max="8787" width="5.90625" customWidth="1"/>
    <col min="8788" max="8788" width="11.36328125" customWidth="1"/>
    <col min="8961" max="8961" width="3.1796875" customWidth="1"/>
    <col min="8962" max="8962" width="4.08984375" customWidth="1"/>
    <col min="8963" max="8963" width="8.7265625" customWidth="1"/>
    <col min="8964" max="8964" width="11.26953125" bestFit="1" customWidth="1"/>
    <col min="8965" max="8969" width="0" hidden="1" customWidth="1"/>
    <col min="8970" max="8970" width="5" customWidth="1"/>
    <col min="8971" max="8975" width="0" hidden="1" customWidth="1"/>
    <col min="8976" max="8976" width="5.26953125" customWidth="1"/>
    <col min="8977" max="8981" width="0" hidden="1" customWidth="1"/>
    <col min="8982" max="8982" width="5.26953125" customWidth="1"/>
    <col min="8983" max="8987" width="0" hidden="1" customWidth="1"/>
    <col min="8988" max="8988" width="5.81640625" customWidth="1"/>
    <col min="8989" max="8993" width="0" hidden="1" customWidth="1"/>
    <col min="8994" max="8994" width="5.26953125" customWidth="1"/>
    <col min="8995" max="8999" width="0" hidden="1" customWidth="1"/>
    <col min="9000" max="9000" width="5" customWidth="1"/>
    <col min="9001" max="9005" width="0" hidden="1" customWidth="1"/>
    <col min="9006" max="9006" width="5.08984375" customWidth="1"/>
    <col min="9007" max="9011" width="0" hidden="1" customWidth="1"/>
    <col min="9012" max="9012" width="4.81640625" customWidth="1"/>
    <col min="9013" max="9017" width="0" hidden="1" customWidth="1"/>
    <col min="9018" max="9018" width="4.81640625" customWidth="1"/>
    <col min="9019" max="9023" width="0" hidden="1" customWidth="1"/>
    <col min="9024" max="9024" width="5.453125" customWidth="1"/>
    <col min="9025" max="9029" width="0" hidden="1" customWidth="1"/>
    <col min="9030" max="9030" width="5.36328125" customWidth="1"/>
    <col min="9031" max="9035" width="0" hidden="1" customWidth="1"/>
    <col min="9036" max="9036" width="5.36328125" customWidth="1"/>
    <col min="9037" max="9037" width="4.36328125" customWidth="1"/>
    <col min="9038" max="9038" width="5.36328125" customWidth="1"/>
    <col min="9039" max="9039" width="4.36328125" customWidth="1"/>
    <col min="9040" max="9040" width="5.90625" customWidth="1"/>
    <col min="9041" max="9041" width="4.90625" customWidth="1"/>
    <col min="9042" max="9042" width="6.36328125" customWidth="1"/>
    <col min="9043" max="9043" width="5.90625" customWidth="1"/>
    <col min="9044" max="9044" width="11.36328125" customWidth="1"/>
    <col min="9217" max="9217" width="3.1796875" customWidth="1"/>
    <col min="9218" max="9218" width="4.08984375" customWidth="1"/>
    <col min="9219" max="9219" width="8.7265625" customWidth="1"/>
    <col min="9220" max="9220" width="11.26953125" bestFit="1" customWidth="1"/>
    <col min="9221" max="9225" width="0" hidden="1" customWidth="1"/>
    <col min="9226" max="9226" width="5" customWidth="1"/>
    <col min="9227" max="9231" width="0" hidden="1" customWidth="1"/>
    <col min="9232" max="9232" width="5.26953125" customWidth="1"/>
    <col min="9233" max="9237" width="0" hidden="1" customWidth="1"/>
    <col min="9238" max="9238" width="5.26953125" customWidth="1"/>
    <col min="9239" max="9243" width="0" hidden="1" customWidth="1"/>
    <col min="9244" max="9244" width="5.81640625" customWidth="1"/>
    <col min="9245" max="9249" width="0" hidden="1" customWidth="1"/>
    <col min="9250" max="9250" width="5.26953125" customWidth="1"/>
    <col min="9251" max="9255" width="0" hidden="1" customWidth="1"/>
    <col min="9256" max="9256" width="5" customWidth="1"/>
    <col min="9257" max="9261" width="0" hidden="1" customWidth="1"/>
    <col min="9262" max="9262" width="5.08984375" customWidth="1"/>
    <col min="9263" max="9267" width="0" hidden="1" customWidth="1"/>
    <col min="9268" max="9268" width="4.81640625" customWidth="1"/>
    <col min="9269" max="9273" width="0" hidden="1" customWidth="1"/>
    <col min="9274" max="9274" width="4.81640625" customWidth="1"/>
    <col min="9275" max="9279" width="0" hidden="1" customWidth="1"/>
    <col min="9280" max="9280" width="5.453125" customWidth="1"/>
    <col min="9281" max="9285" width="0" hidden="1" customWidth="1"/>
    <col min="9286" max="9286" width="5.36328125" customWidth="1"/>
    <col min="9287" max="9291" width="0" hidden="1" customWidth="1"/>
    <col min="9292" max="9292" width="5.36328125" customWidth="1"/>
    <col min="9293" max="9293" width="4.36328125" customWidth="1"/>
    <col min="9294" max="9294" width="5.36328125" customWidth="1"/>
    <col min="9295" max="9295" width="4.36328125" customWidth="1"/>
    <col min="9296" max="9296" width="5.90625" customWidth="1"/>
    <col min="9297" max="9297" width="4.90625" customWidth="1"/>
    <col min="9298" max="9298" width="6.36328125" customWidth="1"/>
    <col min="9299" max="9299" width="5.90625" customWidth="1"/>
    <col min="9300" max="9300" width="11.36328125" customWidth="1"/>
    <col min="9473" max="9473" width="3.1796875" customWidth="1"/>
    <col min="9474" max="9474" width="4.08984375" customWidth="1"/>
    <col min="9475" max="9475" width="8.7265625" customWidth="1"/>
    <col min="9476" max="9476" width="11.26953125" bestFit="1" customWidth="1"/>
    <col min="9477" max="9481" width="0" hidden="1" customWidth="1"/>
    <col min="9482" max="9482" width="5" customWidth="1"/>
    <col min="9483" max="9487" width="0" hidden="1" customWidth="1"/>
    <col min="9488" max="9488" width="5.26953125" customWidth="1"/>
    <col min="9489" max="9493" width="0" hidden="1" customWidth="1"/>
    <col min="9494" max="9494" width="5.26953125" customWidth="1"/>
    <col min="9495" max="9499" width="0" hidden="1" customWidth="1"/>
    <col min="9500" max="9500" width="5.81640625" customWidth="1"/>
    <col min="9501" max="9505" width="0" hidden="1" customWidth="1"/>
    <col min="9506" max="9506" width="5.26953125" customWidth="1"/>
    <col min="9507" max="9511" width="0" hidden="1" customWidth="1"/>
    <col min="9512" max="9512" width="5" customWidth="1"/>
    <col min="9513" max="9517" width="0" hidden="1" customWidth="1"/>
    <col min="9518" max="9518" width="5.08984375" customWidth="1"/>
    <col min="9519" max="9523" width="0" hidden="1" customWidth="1"/>
    <col min="9524" max="9524" width="4.81640625" customWidth="1"/>
    <col min="9525" max="9529" width="0" hidden="1" customWidth="1"/>
    <col min="9530" max="9530" width="4.81640625" customWidth="1"/>
    <col min="9531" max="9535" width="0" hidden="1" customWidth="1"/>
    <col min="9536" max="9536" width="5.453125" customWidth="1"/>
    <col min="9537" max="9541" width="0" hidden="1" customWidth="1"/>
    <col min="9542" max="9542" width="5.36328125" customWidth="1"/>
    <col min="9543" max="9547" width="0" hidden="1" customWidth="1"/>
    <col min="9548" max="9548" width="5.36328125" customWidth="1"/>
    <col min="9549" max="9549" width="4.36328125" customWidth="1"/>
    <col min="9550" max="9550" width="5.36328125" customWidth="1"/>
    <col min="9551" max="9551" width="4.36328125" customWidth="1"/>
    <col min="9552" max="9552" width="5.90625" customWidth="1"/>
    <col min="9553" max="9553" width="4.90625" customWidth="1"/>
    <col min="9554" max="9554" width="6.36328125" customWidth="1"/>
    <col min="9555" max="9555" width="5.90625" customWidth="1"/>
    <col min="9556" max="9556" width="11.36328125" customWidth="1"/>
    <col min="9729" max="9729" width="3.1796875" customWidth="1"/>
    <col min="9730" max="9730" width="4.08984375" customWidth="1"/>
    <col min="9731" max="9731" width="8.7265625" customWidth="1"/>
    <col min="9732" max="9732" width="11.26953125" bestFit="1" customWidth="1"/>
    <col min="9733" max="9737" width="0" hidden="1" customWidth="1"/>
    <col min="9738" max="9738" width="5" customWidth="1"/>
    <col min="9739" max="9743" width="0" hidden="1" customWidth="1"/>
    <col min="9744" max="9744" width="5.26953125" customWidth="1"/>
    <col min="9745" max="9749" width="0" hidden="1" customWidth="1"/>
    <col min="9750" max="9750" width="5.26953125" customWidth="1"/>
    <col min="9751" max="9755" width="0" hidden="1" customWidth="1"/>
    <col min="9756" max="9756" width="5.81640625" customWidth="1"/>
    <col min="9757" max="9761" width="0" hidden="1" customWidth="1"/>
    <col min="9762" max="9762" width="5.26953125" customWidth="1"/>
    <col min="9763" max="9767" width="0" hidden="1" customWidth="1"/>
    <col min="9768" max="9768" width="5" customWidth="1"/>
    <col min="9769" max="9773" width="0" hidden="1" customWidth="1"/>
    <col min="9774" max="9774" width="5.08984375" customWidth="1"/>
    <col min="9775" max="9779" width="0" hidden="1" customWidth="1"/>
    <col min="9780" max="9780" width="4.81640625" customWidth="1"/>
    <col min="9781" max="9785" width="0" hidden="1" customWidth="1"/>
    <col min="9786" max="9786" width="4.81640625" customWidth="1"/>
    <col min="9787" max="9791" width="0" hidden="1" customWidth="1"/>
    <col min="9792" max="9792" width="5.453125" customWidth="1"/>
    <col min="9793" max="9797" width="0" hidden="1" customWidth="1"/>
    <col min="9798" max="9798" width="5.36328125" customWidth="1"/>
    <col min="9799" max="9803" width="0" hidden="1" customWidth="1"/>
    <col min="9804" max="9804" width="5.36328125" customWidth="1"/>
    <col min="9805" max="9805" width="4.36328125" customWidth="1"/>
    <col min="9806" max="9806" width="5.36328125" customWidth="1"/>
    <col min="9807" max="9807" width="4.36328125" customWidth="1"/>
    <col min="9808" max="9808" width="5.90625" customWidth="1"/>
    <col min="9809" max="9809" width="4.90625" customWidth="1"/>
    <col min="9810" max="9810" width="6.36328125" customWidth="1"/>
    <col min="9811" max="9811" width="5.90625" customWidth="1"/>
    <col min="9812" max="9812" width="11.36328125" customWidth="1"/>
    <col min="9985" max="9985" width="3.1796875" customWidth="1"/>
    <col min="9986" max="9986" width="4.08984375" customWidth="1"/>
    <col min="9987" max="9987" width="8.7265625" customWidth="1"/>
    <col min="9988" max="9988" width="11.26953125" bestFit="1" customWidth="1"/>
    <col min="9989" max="9993" width="0" hidden="1" customWidth="1"/>
    <col min="9994" max="9994" width="5" customWidth="1"/>
    <col min="9995" max="9999" width="0" hidden="1" customWidth="1"/>
    <col min="10000" max="10000" width="5.26953125" customWidth="1"/>
    <col min="10001" max="10005" width="0" hidden="1" customWidth="1"/>
    <col min="10006" max="10006" width="5.26953125" customWidth="1"/>
    <col min="10007" max="10011" width="0" hidden="1" customWidth="1"/>
    <col min="10012" max="10012" width="5.81640625" customWidth="1"/>
    <col min="10013" max="10017" width="0" hidden="1" customWidth="1"/>
    <col min="10018" max="10018" width="5.26953125" customWidth="1"/>
    <col min="10019" max="10023" width="0" hidden="1" customWidth="1"/>
    <col min="10024" max="10024" width="5" customWidth="1"/>
    <col min="10025" max="10029" width="0" hidden="1" customWidth="1"/>
    <col min="10030" max="10030" width="5.08984375" customWidth="1"/>
    <col min="10031" max="10035" width="0" hidden="1" customWidth="1"/>
    <col min="10036" max="10036" width="4.81640625" customWidth="1"/>
    <col min="10037" max="10041" width="0" hidden="1" customWidth="1"/>
    <col min="10042" max="10042" width="4.81640625" customWidth="1"/>
    <col min="10043" max="10047" width="0" hidden="1" customWidth="1"/>
    <col min="10048" max="10048" width="5.453125" customWidth="1"/>
    <col min="10049" max="10053" width="0" hidden="1" customWidth="1"/>
    <col min="10054" max="10054" width="5.36328125" customWidth="1"/>
    <col min="10055" max="10059" width="0" hidden="1" customWidth="1"/>
    <col min="10060" max="10060" width="5.36328125" customWidth="1"/>
    <col min="10061" max="10061" width="4.36328125" customWidth="1"/>
    <col min="10062" max="10062" width="5.36328125" customWidth="1"/>
    <col min="10063" max="10063" width="4.36328125" customWidth="1"/>
    <col min="10064" max="10064" width="5.90625" customWidth="1"/>
    <col min="10065" max="10065" width="4.90625" customWidth="1"/>
    <col min="10066" max="10066" width="6.36328125" customWidth="1"/>
    <col min="10067" max="10067" width="5.90625" customWidth="1"/>
    <col min="10068" max="10068" width="11.36328125" customWidth="1"/>
    <col min="10241" max="10241" width="3.1796875" customWidth="1"/>
    <col min="10242" max="10242" width="4.08984375" customWidth="1"/>
    <col min="10243" max="10243" width="8.7265625" customWidth="1"/>
    <col min="10244" max="10244" width="11.26953125" bestFit="1" customWidth="1"/>
    <col min="10245" max="10249" width="0" hidden="1" customWidth="1"/>
    <col min="10250" max="10250" width="5" customWidth="1"/>
    <col min="10251" max="10255" width="0" hidden="1" customWidth="1"/>
    <col min="10256" max="10256" width="5.26953125" customWidth="1"/>
    <col min="10257" max="10261" width="0" hidden="1" customWidth="1"/>
    <col min="10262" max="10262" width="5.26953125" customWidth="1"/>
    <col min="10263" max="10267" width="0" hidden="1" customWidth="1"/>
    <col min="10268" max="10268" width="5.81640625" customWidth="1"/>
    <col min="10269" max="10273" width="0" hidden="1" customWidth="1"/>
    <col min="10274" max="10274" width="5.26953125" customWidth="1"/>
    <col min="10275" max="10279" width="0" hidden="1" customWidth="1"/>
    <col min="10280" max="10280" width="5" customWidth="1"/>
    <col min="10281" max="10285" width="0" hidden="1" customWidth="1"/>
    <col min="10286" max="10286" width="5.08984375" customWidth="1"/>
    <col min="10287" max="10291" width="0" hidden="1" customWidth="1"/>
    <col min="10292" max="10292" width="4.81640625" customWidth="1"/>
    <col min="10293" max="10297" width="0" hidden="1" customWidth="1"/>
    <col min="10298" max="10298" width="4.81640625" customWidth="1"/>
    <col min="10299" max="10303" width="0" hidden="1" customWidth="1"/>
    <col min="10304" max="10304" width="5.453125" customWidth="1"/>
    <col min="10305" max="10309" width="0" hidden="1" customWidth="1"/>
    <col min="10310" max="10310" width="5.36328125" customWidth="1"/>
    <col min="10311" max="10315" width="0" hidden="1" customWidth="1"/>
    <col min="10316" max="10316" width="5.36328125" customWidth="1"/>
    <col min="10317" max="10317" width="4.36328125" customWidth="1"/>
    <col min="10318" max="10318" width="5.36328125" customWidth="1"/>
    <col min="10319" max="10319" width="4.36328125" customWidth="1"/>
    <col min="10320" max="10320" width="5.90625" customWidth="1"/>
    <col min="10321" max="10321" width="4.90625" customWidth="1"/>
    <col min="10322" max="10322" width="6.36328125" customWidth="1"/>
    <col min="10323" max="10323" width="5.90625" customWidth="1"/>
    <col min="10324" max="10324" width="11.36328125" customWidth="1"/>
    <col min="10497" max="10497" width="3.1796875" customWidth="1"/>
    <col min="10498" max="10498" width="4.08984375" customWidth="1"/>
    <col min="10499" max="10499" width="8.7265625" customWidth="1"/>
    <col min="10500" max="10500" width="11.26953125" bestFit="1" customWidth="1"/>
    <col min="10501" max="10505" width="0" hidden="1" customWidth="1"/>
    <col min="10506" max="10506" width="5" customWidth="1"/>
    <col min="10507" max="10511" width="0" hidden="1" customWidth="1"/>
    <col min="10512" max="10512" width="5.26953125" customWidth="1"/>
    <col min="10513" max="10517" width="0" hidden="1" customWidth="1"/>
    <col min="10518" max="10518" width="5.26953125" customWidth="1"/>
    <col min="10519" max="10523" width="0" hidden="1" customWidth="1"/>
    <col min="10524" max="10524" width="5.81640625" customWidth="1"/>
    <col min="10525" max="10529" width="0" hidden="1" customWidth="1"/>
    <col min="10530" max="10530" width="5.26953125" customWidth="1"/>
    <col min="10531" max="10535" width="0" hidden="1" customWidth="1"/>
    <col min="10536" max="10536" width="5" customWidth="1"/>
    <col min="10537" max="10541" width="0" hidden="1" customWidth="1"/>
    <col min="10542" max="10542" width="5.08984375" customWidth="1"/>
    <col min="10543" max="10547" width="0" hidden="1" customWidth="1"/>
    <col min="10548" max="10548" width="4.81640625" customWidth="1"/>
    <col min="10549" max="10553" width="0" hidden="1" customWidth="1"/>
    <col min="10554" max="10554" width="4.81640625" customWidth="1"/>
    <col min="10555" max="10559" width="0" hidden="1" customWidth="1"/>
    <col min="10560" max="10560" width="5.453125" customWidth="1"/>
    <col min="10561" max="10565" width="0" hidden="1" customWidth="1"/>
    <col min="10566" max="10566" width="5.36328125" customWidth="1"/>
    <col min="10567" max="10571" width="0" hidden="1" customWidth="1"/>
    <col min="10572" max="10572" width="5.36328125" customWidth="1"/>
    <col min="10573" max="10573" width="4.36328125" customWidth="1"/>
    <col min="10574" max="10574" width="5.36328125" customWidth="1"/>
    <col min="10575" max="10575" width="4.36328125" customWidth="1"/>
    <col min="10576" max="10576" width="5.90625" customWidth="1"/>
    <col min="10577" max="10577" width="4.90625" customWidth="1"/>
    <col min="10578" max="10578" width="6.36328125" customWidth="1"/>
    <col min="10579" max="10579" width="5.90625" customWidth="1"/>
    <col min="10580" max="10580" width="11.36328125" customWidth="1"/>
    <col min="10753" max="10753" width="3.1796875" customWidth="1"/>
    <col min="10754" max="10754" width="4.08984375" customWidth="1"/>
    <col min="10755" max="10755" width="8.7265625" customWidth="1"/>
    <col min="10756" max="10756" width="11.26953125" bestFit="1" customWidth="1"/>
    <col min="10757" max="10761" width="0" hidden="1" customWidth="1"/>
    <col min="10762" max="10762" width="5" customWidth="1"/>
    <col min="10763" max="10767" width="0" hidden="1" customWidth="1"/>
    <col min="10768" max="10768" width="5.26953125" customWidth="1"/>
    <col min="10769" max="10773" width="0" hidden="1" customWidth="1"/>
    <col min="10774" max="10774" width="5.26953125" customWidth="1"/>
    <col min="10775" max="10779" width="0" hidden="1" customWidth="1"/>
    <col min="10780" max="10780" width="5.81640625" customWidth="1"/>
    <col min="10781" max="10785" width="0" hidden="1" customWidth="1"/>
    <col min="10786" max="10786" width="5.26953125" customWidth="1"/>
    <col min="10787" max="10791" width="0" hidden="1" customWidth="1"/>
    <col min="10792" max="10792" width="5" customWidth="1"/>
    <col min="10793" max="10797" width="0" hidden="1" customWidth="1"/>
    <col min="10798" max="10798" width="5.08984375" customWidth="1"/>
    <col min="10799" max="10803" width="0" hidden="1" customWidth="1"/>
    <col min="10804" max="10804" width="4.81640625" customWidth="1"/>
    <col min="10805" max="10809" width="0" hidden="1" customWidth="1"/>
    <col min="10810" max="10810" width="4.81640625" customWidth="1"/>
    <col min="10811" max="10815" width="0" hidden="1" customWidth="1"/>
    <col min="10816" max="10816" width="5.453125" customWidth="1"/>
    <col min="10817" max="10821" width="0" hidden="1" customWidth="1"/>
    <col min="10822" max="10822" width="5.36328125" customWidth="1"/>
    <col min="10823" max="10827" width="0" hidden="1" customWidth="1"/>
    <col min="10828" max="10828" width="5.36328125" customWidth="1"/>
    <col min="10829" max="10829" width="4.36328125" customWidth="1"/>
    <col min="10830" max="10830" width="5.36328125" customWidth="1"/>
    <col min="10831" max="10831" width="4.36328125" customWidth="1"/>
    <col min="10832" max="10832" width="5.90625" customWidth="1"/>
    <col min="10833" max="10833" width="4.90625" customWidth="1"/>
    <col min="10834" max="10834" width="6.36328125" customWidth="1"/>
    <col min="10835" max="10835" width="5.90625" customWidth="1"/>
    <col min="10836" max="10836" width="11.36328125" customWidth="1"/>
    <col min="11009" max="11009" width="3.1796875" customWidth="1"/>
    <col min="11010" max="11010" width="4.08984375" customWidth="1"/>
    <col min="11011" max="11011" width="8.7265625" customWidth="1"/>
    <col min="11012" max="11012" width="11.26953125" bestFit="1" customWidth="1"/>
    <col min="11013" max="11017" width="0" hidden="1" customWidth="1"/>
    <col min="11018" max="11018" width="5" customWidth="1"/>
    <col min="11019" max="11023" width="0" hidden="1" customWidth="1"/>
    <col min="11024" max="11024" width="5.26953125" customWidth="1"/>
    <col min="11025" max="11029" width="0" hidden="1" customWidth="1"/>
    <col min="11030" max="11030" width="5.26953125" customWidth="1"/>
    <col min="11031" max="11035" width="0" hidden="1" customWidth="1"/>
    <col min="11036" max="11036" width="5.81640625" customWidth="1"/>
    <col min="11037" max="11041" width="0" hidden="1" customWidth="1"/>
    <col min="11042" max="11042" width="5.26953125" customWidth="1"/>
    <col min="11043" max="11047" width="0" hidden="1" customWidth="1"/>
    <col min="11048" max="11048" width="5" customWidth="1"/>
    <col min="11049" max="11053" width="0" hidden="1" customWidth="1"/>
    <col min="11054" max="11054" width="5.08984375" customWidth="1"/>
    <col min="11055" max="11059" width="0" hidden="1" customWidth="1"/>
    <col min="11060" max="11060" width="4.81640625" customWidth="1"/>
    <col min="11061" max="11065" width="0" hidden="1" customWidth="1"/>
    <col min="11066" max="11066" width="4.81640625" customWidth="1"/>
    <col min="11067" max="11071" width="0" hidden="1" customWidth="1"/>
    <col min="11072" max="11072" width="5.453125" customWidth="1"/>
    <col min="11073" max="11077" width="0" hidden="1" customWidth="1"/>
    <col min="11078" max="11078" width="5.36328125" customWidth="1"/>
    <col min="11079" max="11083" width="0" hidden="1" customWidth="1"/>
    <col min="11084" max="11084" width="5.36328125" customWidth="1"/>
    <col min="11085" max="11085" width="4.36328125" customWidth="1"/>
    <col min="11086" max="11086" width="5.36328125" customWidth="1"/>
    <col min="11087" max="11087" width="4.36328125" customWidth="1"/>
    <col min="11088" max="11088" width="5.90625" customWidth="1"/>
    <col min="11089" max="11089" width="4.90625" customWidth="1"/>
    <col min="11090" max="11090" width="6.36328125" customWidth="1"/>
    <col min="11091" max="11091" width="5.90625" customWidth="1"/>
    <col min="11092" max="11092" width="11.36328125" customWidth="1"/>
    <col min="11265" max="11265" width="3.1796875" customWidth="1"/>
    <col min="11266" max="11266" width="4.08984375" customWidth="1"/>
    <col min="11267" max="11267" width="8.7265625" customWidth="1"/>
    <col min="11268" max="11268" width="11.26953125" bestFit="1" customWidth="1"/>
    <col min="11269" max="11273" width="0" hidden="1" customWidth="1"/>
    <col min="11274" max="11274" width="5" customWidth="1"/>
    <col min="11275" max="11279" width="0" hidden="1" customWidth="1"/>
    <col min="11280" max="11280" width="5.26953125" customWidth="1"/>
    <col min="11281" max="11285" width="0" hidden="1" customWidth="1"/>
    <col min="11286" max="11286" width="5.26953125" customWidth="1"/>
    <col min="11287" max="11291" width="0" hidden="1" customWidth="1"/>
    <col min="11292" max="11292" width="5.81640625" customWidth="1"/>
    <col min="11293" max="11297" width="0" hidden="1" customWidth="1"/>
    <col min="11298" max="11298" width="5.26953125" customWidth="1"/>
    <col min="11299" max="11303" width="0" hidden="1" customWidth="1"/>
    <col min="11304" max="11304" width="5" customWidth="1"/>
    <col min="11305" max="11309" width="0" hidden="1" customWidth="1"/>
    <col min="11310" max="11310" width="5.08984375" customWidth="1"/>
    <col min="11311" max="11315" width="0" hidden="1" customWidth="1"/>
    <col min="11316" max="11316" width="4.81640625" customWidth="1"/>
    <col min="11317" max="11321" width="0" hidden="1" customWidth="1"/>
    <col min="11322" max="11322" width="4.81640625" customWidth="1"/>
    <col min="11323" max="11327" width="0" hidden="1" customWidth="1"/>
    <col min="11328" max="11328" width="5.453125" customWidth="1"/>
    <col min="11329" max="11333" width="0" hidden="1" customWidth="1"/>
    <col min="11334" max="11334" width="5.36328125" customWidth="1"/>
    <col min="11335" max="11339" width="0" hidden="1" customWidth="1"/>
    <col min="11340" max="11340" width="5.36328125" customWidth="1"/>
    <col min="11341" max="11341" width="4.36328125" customWidth="1"/>
    <col min="11342" max="11342" width="5.36328125" customWidth="1"/>
    <col min="11343" max="11343" width="4.36328125" customWidth="1"/>
    <col min="11344" max="11344" width="5.90625" customWidth="1"/>
    <col min="11345" max="11345" width="4.90625" customWidth="1"/>
    <col min="11346" max="11346" width="6.36328125" customWidth="1"/>
    <col min="11347" max="11347" width="5.90625" customWidth="1"/>
    <col min="11348" max="11348" width="11.36328125" customWidth="1"/>
    <col min="11521" max="11521" width="3.1796875" customWidth="1"/>
    <col min="11522" max="11522" width="4.08984375" customWidth="1"/>
    <col min="11523" max="11523" width="8.7265625" customWidth="1"/>
    <col min="11524" max="11524" width="11.26953125" bestFit="1" customWidth="1"/>
    <col min="11525" max="11529" width="0" hidden="1" customWidth="1"/>
    <col min="11530" max="11530" width="5" customWidth="1"/>
    <col min="11531" max="11535" width="0" hidden="1" customWidth="1"/>
    <col min="11536" max="11536" width="5.26953125" customWidth="1"/>
    <col min="11537" max="11541" width="0" hidden="1" customWidth="1"/>
    <col min="11542" max="11542" width="5.26953125" customWidth="1"/>
    <col min="11543" max="11547" width="0" hidden="1" customWidth="1"/>
    <col min="11548" max="11548" width="5.81640625" customWidth="1"/>
    <col min="11549" max="11553" width="0" hidden="1" customWidth="1"/>
    <col min="11554" max="11554" width="5.26953125" customWidth="1"/>
    <col min="11555" max="11559" width="0" hidden="1" customWidth="1"/>
    <col min="11560" max="11560" width="5" customWidth="1"/>
    <col min="11561" max="11565" width="0" hidden="1" customWidth="1"/>
    <col min="11566" max="11566" width="5.08984375" customWidth="1"/>
    <col min="11567" max="11571" width="0" hidden="1" customWidth="1"/>
    <col min="11572" max="11572" width="4.81640625" customWidth="1"/>
    <col min="11573" max="11577" width="0" hidden="1" customWidth="1"/>
    <col min="11578" max="11578" width="4.81640625" customWidth="1"/>
    <col min="11579" max="11583" width="0" hidden="1" customWidth="1"/>
    <col min="11584" max="11584" width="5.453125" customWidth="1"/>
    <col min="11585" max="11589" width="0" hidden="1" customWidth="1"/>
    <col min="11590" max="11590" width="5.36328125" customWidth="1"/>
    <col min="11591" max="11595" width="0" hidden="1" customWidth="1"/>
    <col min="11596" max="11596" width="5.36328125" customWidth="1"/>
    <col min="11597" max="11597" width="4.36328125" customWidth="1"/>
    <col min="11598" max="11598" width="5.36328125" customWidth="1"/>
    <col min="11599" max="11599" width="4.36328125" customWidth="1"/>
    <col min="11600" max="11600" width="5.90625" customWidth="1"/>
    <col min="11601" max="11601" width="4.90625" customWidth="1"/>
    <col min="11602" max="11602" width="6.36328125" customWidth="1"/>
    <col min="11603" max="11603" width="5.90625" customWidth="1"/>
    <col min="11604" max="11604" width="11.36328125" customWidth="1"/>
    <col min="11777" max="11777" width="3.1796875" customWidth="1"/>
    <col min="11778" max="11778" width="4.08984375" customWidth="1"/>
    <col min="11779" max="11779" width="8.7265625" customWidth="1"/>
    <col min="11780" max="11780" width="11.26953125" bestFit="1" customWidth="1"/>
    <col min="11781" max="11785" width="0" hidden="1" customWidth="1"/>
    <col min="11786" max="11786" width="5" customWidth="1"/>
    <col min="11787" max="11791" width="0" hidden="1" customWidth="1"/>
    <col min="11792" max="11792" width="5.26953125" customWidth="1"/>
    <col min="11793" max="11797" width="0" hidden="1" customWidth="1"/>
    <col min="11798" max="11798" width="5.26953125" customWidth="1"/>
    <col min="11799" max="11803" width="0" hidden="1" customWidth="1"/>
    <col min="11804" max="11804" width="5.81640625" customWidth="1"/>
    <col min="11805" max="11809" width="0" hidden="1" customWidth="1"/>
    <col min="11810" max="11810" width="5.26953125" customWidth="1"/>
    <col min="11811" max="11815" width="0" hidden="1" customWidth="1"/>
    <col min="11816" max="11816" width="5" customWidth="1"/>
    <col min="11817" max="11821" width="0" hidden="1" customWidth="1"/>
    <col min="11822" max="11822" width="5.08984375" customWidth="1"/>
    <col min="11823" max="11827" width="0" hidden="1" customWidth="1"/>
    <col min="11828" max="11828" width="4.81640625" customWidth="1"/>
    <col min="11829" max="11833" width="0" hidden="1" customWidth="1"/>
    <col min="11834" max="11834" width="4.81640625" customWidth="1"/>
    <col min="11835" max="11839" width="0" hidden="1" customWidth="1"/>
    <col min="11840" max="11840" width="5.453125" customWidth="1"/>
    <col min="11841" max="11845" width="0" hidden="1" customWidth="1"/>
    <col min="11846" max="11846" width="5.36328125" customWidth="1"/>
    <col min="11847" max="11851" width="0" hidden="1" customWidth="1"/>
    <col min="11852" max="11852" width="5.36328125" customWidth="1"/>
    <col min="11853" max="11853" width="4.36328125" customWidth="1"/>
    <col min="11854" max="11854" width="5.36328125" customWidth="1"/>
    <col min="11855" max="11855" width="4.36328125" customWidth="1"/>
    <col min="11856" max="11856" width="5.90625" customWidth="1"/>
    <col min="11857" max="11857" width="4.90625" customWidth="1"/>
    <col min="11858" max="11858" width="6.36328125" customWidth="1"/>
    <col min="11859" max="11859" width="5.90625" customWidth="1"/>
    <col min="11860" max="11860" width="11.36328125" customWidth="1"/>
    <col min="12033" max="12033" width="3.1796875" customWidth="1"/>
    <col min="12034" max="12034" width="4.08984375" customWidth="1"/>
    <col min="12035" max="12035" width="8.7265625" customWidth="1"/>
    <col min="12036" max="12036" width="11.26953125" bestFit="1" customWidth="1"/>
    <col min="12037" max="12041" width="0" hidden="1" customWidth="1"/>
    <col min="12042" max="12042" width="5" customWidth="1"/>
    <col min="12043" max="12047" width="0" hidden="1" customWidth="1"/>
    <col min="12048" max="12048" width="5.26953125" customWidth="1"/>
    <col min="12049" max="12053" width="0" hidden="1" customWidth="1"/>
    <col min="12054" max="12054" width="5.26953125" customWidth="1"/>
    <col min="12055" max="12059" width="0" hidden="1" customWidth="1"/>
    <col min="12060" max="12060" width="5.81640625" customWidth="1"/>
    <col min="12061" max="12065" width="0" hidden="1" customWidth="1"/>
    <col min="12066" max="12066" width="5.26953125" customWidth="1"/>
    <col min="12067" max="12071" width="0" hidden="1" customWidth="1"/>
    <col min="12072" max="12072" width="5" customWidth="1"/>
    <col min="12073" max="12077" width="0" hidden="1" customWidth="1"/>
    <col min="12078" max="12078" width="5.08984375" customWidth="1"/>
    <col min="12079" max="12083" width="0" hidden="1" customWidth="1"/>
    <col min="12084" max="12084" width="4.81640625" customWidth="1"/>
    <col min="12085" max="12089" width="0" hidden="1" customWidth="1"/>
    <col min="12090" max="12090" width="4.81640625" customWidth="1"/>
    <col min="12091" max="12095" width="0" hidden="1" customWidth="1"/>
    <col min="12096" max="12096" width="5.453125" customWidth="1"/>
    <col min="12097" max="12101" width="0" hidden="1" customWidth="1"/>
    <col min="12102" max="12102" width="5.36328125" customWidth="1"/>
    <col min="12103" max="12107" width="0" hidden="1" customWidth="1"/>
    <col min="12108" max="12108" width="5.36328125" customWidth="1"/>
    <col min="12109" max="12109" width="4.36328125" customWidth="1"/>
    <col min="12110" max="12110" width="5.36328125" customWidth="1"/>
    <col min="12111" max="12111" width="4.36328125" customWidth="1"/>
    <col min="12112" max="12112" width="5.90625" customWidth="1"/>
    <col min="12113" max="12113" width="4.90625" customWidth="1"/>
    <col min="12114" max="12114" width="6.36328125" customWidth="1"/>
    <col min="12115" max="12115" width="5.90625" customWidth="1"/>
    <col min="12116" max="12116" width="11.36328125" customWidth="1"/>
    <col min="12289" max="12289" width="3.1796875" customWidth="1"/>
    <col min="12290" max="12290" width="4.08984375" customWidth="1"/>
    <col min="12291" max="12291" width="8.7265625" customWidth="1"/>
    <col min="12292" max="12292" width="11.26953125" bestFit="1" customWidth="1"/>
    <col min="12293" max="12297" width="0" hidden="1" customWidth="1"/>
    <col min="12298" max="12298" width="5" customWidth="1"/>
    <col min="12299" max="12303" width="0" hidden="1" customWidth="1"/>
    <col min="12304" max="12304" width="5.26953125" customWidth="1"/>
    <col min="12305" max="12309" width="0" hidden="1" customWidth="1"/>
    <col min="12310" max="12310" width="5.26953125" customWidth="1"/>
    <col min="12311" max="12315" width="0" hidden="1" customWidth="1"/>
    <col min="12316" max="12316" width="5.81640625" customWidth="1"/>
    <col min="12317" max="12321" width="0" hidden="1" customWidth="1"/>
    <col min="12322" max="12322" width="5.26953125" customWidth="1"/>
    <col min="12323" max="12327" width="0" hidden="1" customWidth="1"/>
    <col min="12328" max="12328" width="5" customWidth="1"/>
    <col min="12329" max="12333" width="0" hidden="1" customWidth="1"/>
    <col min="12334" max="12334" width="5.08984375" customWidth="1"/>
    <col min="12335" max="12339" width="0" hidden="1" customWidth="1"/>
    <col min="12340" max="12340" width="4.81640625" customWidth="1"/>
    <col min="12341" max="12345" width="0" hidden="1" customWidth="1"/>
    <col min="12346" max="12346" width="4.81640625" customWidth="1"/>
    <col min="12347" max="12351" width="0" hidden="1" customWidth="1"/>
    <col min="12352" max="12352" width="5.453125" customWidth="1"/>
    <col min="12353" max="12357" width="0" hidden="1" customWidth="1"/>
    <col min="12358" max="12358" width="5.36328125" customWidth="1"/>
    <col min="12359" max="12363" width="0" hidden="1" customWidth="1"/>
    <col min="12364" max="12364" width="5.36328125" customWidth="1"/>
    <col min="12365" max="12365" width="4.36328125" customWidth="1"/>
    <col min="12366" max="12366" width="5.36328125" customWidth="1"/>
    <col min="12367" max="12367" width="4.36328125" customWidth="1"/>
    <col min="12368" max="12368" width="5.90625" customWidth="1"/>
    <col min="12369" max="12369" width="4.90625" customWidth="1"/>
    <col min="12370" max="12370" width="6.36328125" customWidth="1"/>
    <col min="12371" max="12371" width="5.90625" customWidth="1"/>
    <col min="12372" max="12372" width="11.36328125" customWidth="1"/>
    <col min="12545" max="12545" width="3.1796875" customWidth="1"/>
    <col min="12546" max="12546" width="4.08984375" customWidth="1"/>
    <col min="12547" max="12547" width="8.7265625" customWidth="1"/>
    <col min="12548" max="12548" width="11.26953125" bestFit="1" customWidth="1"/>
    <col min="12549" max="12553" width="0" hidden="1" customWidth="1"/>
    <col min="12554" max="12554" width="5" customWidth="1"/>
    <col min="12555" max="12559" width="0" hidden="1" customWidth="1"/>
    <col min="12560" max="12560" width="5.26953125" customWidth="1"/>
    <col min="12561" max="12565" width="0" hidden="1" customWidth="1"/>
    <col min="12566" max="12566" width="5.26953125" customWidth="1"/>
    <col min="12567" max="12571" width="0" hidden="1" customWidth="1"/>
    <col min="12572" max="12572" width="5.81640625" customWidth="1"/>
    <col min="12573" max="12577" width="0" hidden="1" customWidth="1"/>
    <col min="12578" max="12578" width="5.26953125" customWidth="1"/>
    <col min="12579" max="12583" width="0" hidden="1" customWidth="1"/>
    <col min="12584" max="12584" width="5" customWidth="1"/>
    <col min="12585" max="12589" width="0" hidden="1" customWidth="1"/>
    <col min="12590" max="12590" width="5.08984375" customWidth="1"/>
    <col min="12591" max="12595" width="0" hidden="1" customWidth="1"/>
    <col min="12596" max="12596" width="4.81640625" customWidth="1"/>
    <col min="12597" max="12601" width="0" hidden="1" customWidth="1"/>
    <col min="12602" max="12602" width="4.81640625" customWidth="1"/>
    <col min="12603" max="12607" width="0" hidden="1" customWidth="1"/>
    <col min="12608" max="12608" width="5.453125" customWidth="1"/>
    <col min="12609" max="12613" width="0" hidden="1" customWidth="1"/>
    <col min="12614" max="12614" width="5.36328125" customWidth="1"/>
    <col min="12615" max="12619" width="0" hidden="1" customWidth="1"/>
    <col min="12620" max="12620" width="5.36328125" customWidth="1"/>
    <col min="12621" max="12621" width="4.36328125" customWidth="1"/>
    <col min="12622" max="12622" width="5.36328125" customWidth="1"/>
    <col min="12623" max="12623" width="4.36328125" customWidth="1"/>
    <col min="12624" max="12624" width="5.90625" customWidth="1"/>
    <col min="12625" max="12625" width="4.90625" customWidth="1"/>
    <col min="12626" max="12626" width="6.36328125" customWidth="1"/>
    <col min="12627" max="12627" width="5.90625" customWidth="1"/>
    <col min="12628" max="12628" width="11.36328125" customWidth="1"/>
    <col min="12801" max="12801" width="3.1796875" customWidth="1"/>
    <col min="12802" max="12802" width="4.08984375" customWidth="1"/>
    <col min="12803" max="12803" width="8.7265625" customWidth="1"/>
    <col min="12804" max="12804" width="11.26953125" bestFit="1" customWidth="1"/>
    <col min="12805" max="12809" width="0" hidden="1" customWidth="1"/>
    <col min="12810" max="12810" width="5" customWidth="1"/>
    <col min="12811" max="12815" width="0" hidden="1" customWidth="1"/>
    <col min="12816" max="12816" width="5.26953125" customWidth="1"/>
    <col min="12817" max="12821" width="0" hidden="1" customWidth="1"/>
    <col min="12822" max="12822" width="5.26953125" customWidth="1"/>
    <col min="12823" max="12827" width="0" hidden="1" customWidth="1"/>
    <col min="12828" max="12828" width="5.81640625" customWidth="1"/>
    <col min="12829" max="12833" width="0" hidden="1" customWidth="1"/>
    <col min="12834" max="12834" width="5.26953125" customWidth="1"/>
    <col min="12835" max="12839" width="0" hidden="1" customWidth="1"/>
    <col min="12840" max="12840" width="5" customWidth="1"/>
    <col min="12841" max="12845" width="0" hidden="1" customWidth="1"/>
    <col min="12846" max="12846" width="5.08984375" customWidth="1"/>
    <col min="12847" max="12851" width="0" hidden="1" customWidth="1"/>
    <col min="12852" max="12852" width="4.81640625" customWidth="1"/>
    <col min="12853" max="12857" width="0" hidden="1" customWidth="1"/>
    <col min="12858" max="12858" width="4.81640625" customWidth="1"/>
    <col min="12859" max="12863" width="0" hidden="1" customWidth="1"/>
    <col min="12864" max="12864" width="5.453125" customWidth="1"/>
    <col min="12865" max="12869" width="0" hidden="1" customWidth="1"/>
    <col min="12870" max="12870" width="5.36328125" customWidth="1"/>
    <col min="12871" max="12875" width="0" hidden="1" customWidth="1"/>
    <col min="12876" max="12876" width="5.36328125" customWidth="1"/>
    <col min="12877" max="12877" width="4.36328125" customWidth="1"/>
    <col min="12878" max="12878" width="5.36328125" customWidth="1"/>
    <col min="12879" max="12879" width="4.36328125" customWidth="1"/>
    <col min="12880" max="12880" width="5.90625" customWidth="1"/>
    <col min="12881" max="12881" width="4.90625" customWidth="1"/>
    <col min="12882" max="12882" width="6.36328125" customWidth="1"/>
    <col min="12883" max="12883" width="5.90625" customWidth="1"/>
    <col min="12884" max="12884" width="11.36328125" customWidth="1"/>
    <col min="13057" max="13057" width="3.1796875" customWidth="1"/>
    <col min="13058" max="13058" width="4.08984375" customWidth="1"/>
    <col min="13059" max="13059" width="8.7265625" customWidth="1"/>
    <col min="13060" max="13060" width="11.26953125" bestFit="1" customWidth="1"/>
    <col min="13061" max="13065" width="0" hidden="1" customWidth="1"/>
    <col min="13066" max="13066" width="5" customWidth="1"/>
    <col min="13067" max="13071" width="0" hidden="1" customWidth="1"/>
    <col min="13072" max="13072" width="5.26953125" customWidth="1"/>
    <col min="13073" max="13077" width="0" hidden="1" customWidth="1"/>
    <col min="13078" max="13078" width="5.26953125" customWidth="1"/>
    <col min="13079" max="13083" width="0" hidden="1" customWidth="1"/>
    <col min="13084" max="13084" width="5.81640625" customWidth="1"/>
    <col min="13085" max="13089" width="0" hidden="1" customWidth="1"/>
    <col min="13090" max="13090" width="5.26953125" customWidth="1"/>
    <col min="13091" max="13095" width="0" hidden="1" customWidth="1"/>
    <col min="13096" max="13096" width="5" customWidth="1"/>
    <col min="13097" max="13101" width="0" hidden="1" customWidth="1"/>
    <col min="13102" max="13102" width="5.08984375" customWidth="1"/>
    <col min="13103" max="13107" width="0" hidden="1" customWidth="1"/>
    <col min="13108" max="13108" width="4.81640625" customWidth="1"/>
    <col min="13109" max="13113" width="0" hidden="1" customWidth="1"/>
    <col min="13114" max="13114" width="4.81640625" customWidth="1"/>
    <col min="13115" max="13119" width="0" hidden="1" customWidth="1"/>
    <col min="13120" max="13120" width="5.453125" customWidth="1"/>
    <col min="13121" max="13125" width="0" hidden="1" customWidth="1"/>
    <col min="13126" max="13126" width="5.36328125" customWidth="1"/>
    <col min="13127" max="13131" width="0" hidden="1" customWidth="1"/>
    <col min="13132" max="13132" width="5.36328125" customWidth="1"/>
    <col min="13133" max="13133" width="4.36328125" customWidth="1"/>
    <col min="13134" max="13134" width="5.36328125" customWidth="1"/>
    <col min="13135" max="13135" width="4.36328125" customWidth="1"/>
    <col min="13136" max="13136" width="5.90625" customWidth="1"/>
    <col min="13137" max="13137" width="4.90625" customWidth="1"/>
    <col min="13138" max="13138" width="6.36328125" customWidth="1"/>
    <col min="13139" max="13139" width="5.90625" customWidth="1"/>
    <col min="13140" max="13140" width="11.36328125" customWidth="1"/>
    <col min="13313" max="13313" width="3.1796875" customWidth="1"/>
    <col min="13314" max="13314" width="4.08984375" customWidth="1"/>
    <col min="13315" max="13315" width="8.7265625" customWidth="1"/>
    <col min="13316" max="13316" width="11.26953125" bestFit="1" customWidth="1"/>
    <col min="13317" max="13321" width="0" hidden="1" customWidth="1"/>
    <col min="13322" max="13322" width="5" customWidth="1"/>
    <col min="13323" max="13327" width="0" hidden="1" customWidth="1"/>
    <col min="13328" max="13328" width="5.26953125" customWidth="1"/>
    <col min="13329" max="13333" width="0" hidden="1" customWidth="1"/>
    <col min="13334" max="13334" width="5.26953125" customWidth="1"/>
    <col min="13335" max="13339" width="0" hidden="1" customWidth="1"/>
    <col min="13340" max="13340" width="5.81640625" customWidth="1"/>
    <col min="13341" max="13345" width="0" hidden="1" customWidth="1"/>
    <col min="13346" max="13346" width="5.26953125" customWidth="1"/>
    <col min="13347" max="13351" width="0" hidden="1" customWidth="1"/>
    <col min="13352" max="13352" width="5" customWidth="1"/>
    <col min="13353" max="13357" width="0" hidden="1" customWidth="1"/>
    <col min="13358" max="13358" width="5.08984375" customWidth="1"/>
    <col min="13359" max="13363" width="0" hidden="1" customWidth="1"/>
    <col min="13364" max="13364" width="4.81640625" customWidth="1"/>
    <col min="13365" max="13369" width="0" hidden="1" customWidth="1"/>
    <col min="13370" max="13370" width="4.81640625" customWidth="1"/>
    <col min="13371" max="13375" width="0" hidden="1" customWidth="1"/>
    <col min="13376" max="13376" width="5.453125" customWidth="1"/>
    <col min="13377" max="13381" width="0" hidden="1" customWidth="1"/>
    <col min="13382" max="13382" width="5.36328125" customWidth="1"/>
    <col min="13383" max="13387" width="0" hidden="1" customWidth="1"/>
    <col min="13388" max="13388" width="5.36328125" customWidth="1"/>
    <col min="13389" max="13389" width="4.36328125" customWidth="1"/>
    <col min="13390" max="13390" width="5.36328125" customWidth="1"/>
    <col min="13391" max="13391" width="4.36328125" customWidth="1"/>
    <col min="13392" max="13392" width="5.90625" customWidth="1"/>
    <col min="13393" max="13393" width="4.90625" customWidth="1"/>
    <col min="13394" max="13394" width="6.36328125" customWidth="1"/>
    <col min="13395" max="13395" width="5.90625" customWidth="1"/>
    <col min="13396" max="13396" width="11.36328125" customWidth="1"/>
    <col min="13569" max="13569" width="3.1796875" customWidth="1"/>
    <col min="13570" max="13570" width="4.08984375" customWidth="1"/>
    <col min="13571" max="13571" width="8.7265625" customWidth="1"/>
    <col min="13572" max="13572" width="11.26953125" bestFit="1" customWidth="1"/>
    <col min="13573" max="13577" width="0" hidden="1" customWidth="1"/>
    <col min="13578" max="13578" width="5" customWidth="1"/>
    <col min="13579" max="13583" width="0" hidden="1" customWidth="1"/>
    <col min="13584" max="13584" width="5.26953125" customWidth="1"/>
    <col min="13585" max="13589" width="0" hidden="1" customWidth="1"/>
    <col min="13590" max="13590" width="5.26953125" customWidth="1"/>
    <col min="13591" max="13595" width="0" hidden="1" customWidth="1"/>
    <col min="13596" max="13596" width="5.81640625" customWidth="1"/>
    <col min="13597" max="13601" width="0" hidden="1" customWidth="1"/>
    <col min="13602" max="13602" width="5.26953125" customWidth="1"/>
    <col min="13603" max="13607" width="0" hidden="1" customWidth="1"/>
    <col min="13608" max="13608" width="5" customWidth="1"/>
    <col min="13609" max="13613" width="0" hidden="1" customWidth="1"/>
    <col min="13614" max="13614" width="5.08984375" customWidth="1"/>
    <col min="13615" max="13619" width="0" hidden="1" customWidth="1"/>
    <col min="13620" max="13620" width="4.81640625" customWidth="1"/>
    <col min="13621" max="13625" width="0" hidden="1" customWidth="1"/>
    <col min="13626" max="13626" width="4.81640625" customWidth="1"/>
    <col min="13627" max="13631" width="0" hidden="1" customWidth="1"/>
    <col min="13632" max="13632" width="5.453125" customWidth="1"/>
    <col min="13633" max="13637" width="0" hidden="1" customWidth="1"/>
    <col min="13638" max="13638" width="5.36328125" customWidth="1"/>
    <col min="13639" max="13643" width="0" hidden="1" customWidth="1"/>
    <col min="13644" max="13644" width="5.36328125" customWidth="1"/>
    <col min="13645" max="13645" width="4.36328125" customWidth="1"/>
    <col min="13646" max="13646" width="5.36328125" customWidth="1"/>
    <col min="13647" max="13647" width="4.36328125" customWidth="1"/>
    <col min="13648" max="13648" width="5.90625" customWidth="1"/>
    <col min="13649" max="13649" width="4.90625" customWidth="1"/>
    <col min="13650" max="13650" width="6.36328125" customWidth="1"/>
    <col min="13651" max="13651" width="5.90625" customWidth="1"/>
    <col min="13652" max="13652" width="11.36328125" customWidth="1"/>
    <col min="13825" max="13825" width="3.1796875" customWidth="1"/>
    <col min="13826" max="13826" width="4.08984375" customWidth="1"/>
    <col min="13827" max="13827" width="8.7265625" customWidth="1"/>
    <col min="13828" max="13828" width="11.26953125" bestFit="1" customWidth="1"/>
    <col min="13829" max="13833" width="0" hidden="1" customWidth="1"/>
    <col min="13834" max="13834" width="5" customWidth="1"/>
    <col min="13835" max="13839" width="0" hidden="1" customWidth="1"/>
    <col min="13840" max="13840" width="5.26953125" customWidth="1"/>
    <col min="13841" max="13845" width="0" hidden="1" customWidth="1"/>
    <col min="13846" max="13846" width="5.26953125" customWidth="1"/>
    <col min="13847" max="13851" width="0" hidden="1" customWidth="1"/>
    <col min="13852" max="13852" width="5.81640625" customWidth="1"/>
    <col min="13853" max="13857" width="0" hidden="1" customWidth="1"/>
    <col min="13858" max="13858" width="5.26953125" customWidth="1"/>
    <col min="13859" max="13863" width="0" hidden="1" customWidth="1"/>
    <col min="13864" max="13864" width="5" customWidth="1"/>
    <col min="13865" max="13869" width="0" hidden="1" customWidth="1"/>
    <col min="13870" max="13870" width="5.08984375" customWidth="1"/>
    <col min="13871" max="13875" width="0" hidden="1" customWidth="1"/>
    <col min="13876" max="13876" width="4.81640625" customWidth="1"/>
    <col min="13877" max="13881" width="0" hidden="1" customWidth="1"/>
    <col min="13882" max="13882" width="4.81640625" customWidth="1"/>
    <col min="13883" max="13887" width="0" hidden="1" customWidth="1"/>
    <col min="13888" max="13888" width="5.453125" customWidth="1"/>
    <col min="13889" max="13893" width="0" hidden="1" customWidth="1"/>
    <col min="13894" max="13894" width="5.36328125" customWidth="1"/>
    <col min="13895" max="13899" width="0" hidden="1" customWidth="1"/>
    <col min="13900" max="13900" width="5.36328125" customWidth="1"/>
    <col min="13901" max="13901" width="4.36328125" customWidth="1"/>
    <col min="13902" max="13902" width="5.36328125" customWidth="1"/>
    <col min="13903" max="13903" width="4.36328125" customWidth="1"/>
    <col min="13904" max="13904" width="5.90625" customWidth="1"/>
    <col min="13905" max="13905" width="4.90625" customWidth="1"/>
    <col min="13906" max="13906" width="6.36328125" customWidth="1"/>
    <col min="13907" max="13907" width="5.90625" customWidth="1"/>
    <col min="13908" max="13908" width="11.36328125" customWidth="1"/>
    <col min="14081" max="14081" width="3.1796875" customWidth="1"/>
    <col min="14082" max="14082" width="4.08984375" customWidth="1"/>
    <col min="14083" max="14083" width="8.7265625" customWidth="1"/>
    <col min="14084" max="14084" width="11.26953125" bestFit="1" customWidth="1"/>
    <col min="14085" max="14089" width="0" hidden="1" customWidth="1"/>
    <col min="14090" max="14090" width="5" customWidth="1"/>
    <col min="14091" max="14095" width="0" hidden="1" customWidth="1"/>
    <col min="14096" max="14096" width="5.26953125" customWidth="1"/>
    <col min="14097" max="14101" width="0" hidden="1" customWidth="1"/>
    <col min="14102" max="14102" width="5.26953125" customWidth="1"/>
    <col min="14103" max="14107" width="0" hidden="1" customWidth="1"/>
    <col min="14108" max="14108" width="5.81640625" customWidth="1"/>
    <col min="14109" max="14113" width="0" hidden="1" customWidth="1"/>
    <col min="14114" max="14114" width="5.26953125" customWidth="1"/>
    <col min="14115" max="14119" width="0" hidden="1" customWidth="1"/>
    <col min="14120" max="14120" width="5" customWidth="1"/>
    <col min="14121" max="14125" width="0" hidden="1" customWidth="1"/>
    <col min="14126" max="14126" width="5.08984375" customWidth="1"/>
    <col min="14127" max="14131" width="0" hidden="1" customWidth="1"/>
    <col min="14132" max="14132" width="4.81640625" customWidth="1"/>
    <col min="14133" max="14137" width="0" hidden="1" customWidth="1"/>
    <col min="14138" max="14138" width="4.81640625" customWidth="1"/>
    <col min="14139" max="14143" width="0" hidden="1" customWidth="1"/>
    <col min="14144" max="14144" width="5.453125" customWidth="1"/>
    <col min="14145" max="14149" width="0" hidden="1" customWidth="1"/>
    <col min="14150" max="14150" width="5.36328125" customWidth="1"/>
    <col min="14151" max="14155" width="0" hidden="1" customWidth="1"/>
    <col min="14156" max="14156" width="5.36328125" customWidth="1"/>
    <col min="14157" max="14157" width="4.36328125" customWidth="1"/>
    <col min="14158" max="14158" width="5.36328125" customWidth="1"/>
    <col min="14159" max="14159" width="4.36328125" customWidth="1"/>
    <col min="14160" max="14160" width="5.90625" customWidth="1"/>
    <col min="14161" max="14161" width="4.90625" customWidth="1"/>
    <col min="14162" max="14162" width="6.36328125" customWidth="1"/>
    <col min="14163" max="14163" width="5.90625" customWidth="1"/>
    <col min="14164" max="14164" width="11.36328125" customWidth="1"/>
    <col min="14337" max="14337" width="3.1796875" customWidth="1"/>
    <col min="14338" max="14338" width="4.08984375" customWidth="1"/>
    <col min="14339" max="14339" width="8.7265625" customWidth="1"/>
    <col min="14340" max="14340" width="11.26953125" bestFit="1" customWidth="1"/>
    <col min="14341" max="14345" width="0" hidden="1" customWidth="1"/>
    <col min="14346" max="14346" width="5" customWidth="1"/>
    <col min="14347" max="14351" width="0" hidden="1" customWidth="1"/>
    <col min="14352" max="14352" width="5.26953125" customWidth="1"/>
    <col min="14353" max="14357" width="0" hidden="1" customWidth="1"/>
    <col min="14358" max="14358" width="5.26953125" customWidth="1"/>
    <col min="14359" max="14363" width="0" hidden="1" customWidth="1"/>
    <col min="14364" max="14364" width="5.81640625" customWidth="1"/>
    <col min="14365" max="14369" width="0" hidden="1" customWidth="1"/>
    <col min="14370" max="14370" width="5.26953125" customWidth="1"/>
    <col min="14371" max="14375" width="0" hidden="1" customWidth="1"/>
    <col min="14376" max="14376" width="5" customWidth="1"/>
    <col min="14377" max="14381" width="0" hidden="1" customWidth="1"/>
    <col min="14382" max="14382" width="5.08984375" customWidth="1"/>
    <col min="14383" max="14387" width="0" hidden="1" customWidth="1"/>
    <col min="14388" max="14388" width="4.81640625" customWidth="1"/>
    <col min="14389" max="14393" width="0" hidden="1" customWidth="1"/>
    <col min="14394" max="14394" width="4.81640625" customWidth="1"/>
    <col min="14395" max="14399" width="0" hidden="1" customWidth="1"/>
    <col min="14400" max="14400" width="5.453125" customWidth="1"/>
    <col min="14401" max="14405" width="0" hidden="1" customWidth="1"/>
    <col min="14406" max="14406" width="5.36328125" customWidth="1"/>
    <col min="14407" max="14411" width="0" hidden="1" customWidth="1"/>
    <col min="14412" max="14412" width="5.36328125" customWidth="1"/>
    <col min="14413" max="14413" width="4.36328125" customWidth="1"/>
    <col min="14414" max="14414" width="5.36328125" customWidth="1"/>
    <col min="14415" max="14415" width="4.36328125" customWidth="1"/>
    <col min="14416" max="14416" width="5.90625" customWidth="1"/>
    <col min="14417" max="14417" width="4.90625" customWidth="1"/>
    <col min="14418" max="14418" width="6.36328125" customWidth="1"/>
    <col min="14419" max="14419" width="5.90625" customWidth="1"/>
    <col min="14420" max="14420" width="11.36328125" customWidth="1"/>
    <col min="14593" max="14593" width="3.1796875" customWidth="1"/>
    <col min="14594" max="14594" width="4.08984375" customWidth="1"/>
    <col min="14595" max="14595" width="8.7265625" customWidth="1"/>
    <col min="14596" max="14596" width="11.26953125" bestFit="1" customWidth="1"/>
    <col min="14597" max="14601" width="0" hidden="1" customWidth="1"/>
    <col min="14602" max="14602" width="5" customWidth="1"/>
    <col min="14603" max="14607" width="0" hidden="1" customWidth="1"/>
    <col min="14608" max="14608" width="5.26953125" customWidth="1"/>
    <col min="14609" max="14613" width="0" hidden="1" customWidth="1"/>
    <col min="14614" max="14614" width="5.26953125" customWidth="1"/>
    <col min="14615" max="14619" width="0" hidden="1" customWidth="1"/>
    <col min="14620" max="14620" width="5.81640625" customWidth="1"/>
    <col min="14621" max="14625" width="0" hidden="1" customWidth="1"/>
    <col min="14626" max="14626" width="5.26953125" customWidth="1"/>
    <col min="14627" max="14631" width="0" hidden="1" customWidth="1"/>
    <col min="14632" max="14632" width="5" customWidth="1"/>
    <col min="14633" max="14637" width="0" hidden="1" customWidth="1"/>
    <col min="14638" max="14638" width="5.08984375" customWidth="1"/>
    <col min="14639" max="14643" width="0" hidden="1" customWidth="1"/>
    <col min="14644" max="14644" width="4.81640625" customWidth="1"/>
    <col min="14645" max="14649" width="0" hidden="1" customWidth="1"/>
    <col min="14650" max="14650" width="4.81640625" customWidth="1"/>
    <col min="14651" max="14655" width="0" hidden="1" customWidth="1"/>
    <col min="14656" max="14656" width="5.453125" customWidth="1"/>
    <col min="14657" max="14661" width="0" hidden="1" customWidth="1"/>
    <col min="14662" max="14662" width="5.36328125" customWidth="1"/>
    <col min="14663" max="14667" width="0" hidden="1" customWidth="1"/>
    <col min="14668" max="14668" width="5.36328125" customWidth="1"/>
    <col min="14669" max="14669" width="4.36328125" customWidth="1"/>
    <col min="14670" max="14670" width="5.36328125" customWidth="1"/>
    <col min="14671" max="14671" width="4.36328125" customWidth="1"/>
    <col min="14672" max="14672" width="5.90625" customWidth="1"/>
    <col min="14673" max="14673" width="4.90625" customWidth="1"/>
    <col min="14674" max="14674" width="6.36328125" customWidth="1"/>
    <col min="14675" max="14675" width="5.90625" customWidth="1"/>
    <col min="14676" max="14676" width="11.36328125" customWidth="1"/>
    <col min="14849" max="14849" width="3.1796875" customWidth="1"/>
    <col min="14850" max="14850" width="4.08984375" customWidth="1"/>
    <col min="14851" max="14851" width="8.7265625" customWidth="1"/>
    <col min="14852" max="14852" width="11.26953125" bestFit="1" customWidth="1"/>
    <col min="14853" max="14857" width="0" hidden="1" customWidth="1"/>
    <col min="14858" max="14858" width="5" customWidth="1"/>
    <col min="14859" max="14863" width="0" hidden="1" customWidth="1"/>
    <col min="14864" max="14864" width="5.26953125" customWidth="1"/>
    <col min="14865" max="14869" width="0" hidden="1" customWidth="1"/>
    <col min="14870" max="14870" width="5.26953125" customWidth="1"/>
    <col min="14871" max="14875" width="0" hidden="1" customWidth="1"/>
    <col min="14876" max="14876" width="5.81640625" customWidth="1"/>
    <col min="14877" max="14881" width="0" hidden="1" customWidth="1"/>
    <col min="14882" max="14882" width="5.26953125" customWidth="1"/>
    <col min="14883" max="14887" width="0" hidden="1" customWidth="1"/>
    <col min="14888" max="14888" width="5" customWidth="1"/>
    <col min="14889" max="14893" width="0" hidden="1" customWidth="1"/>
    <col min="14894" max="14894" width="5.08984375" customWidth="1"/>
    <col min="14895" max="14899" width="0" hidden="1" customWidth="1"/>
    <col min="14900" max="14900" width="4.81640625" customWidth="1"/>
    <col min="14901" max="14905" width="0" hidden="1" customWidth="1"/>
    <col min="14906" max="14906" width="4.81640625" customWidth="1"/>
    <col min="14907" max="14911" width="0" hidden="1" customWidth="1"/>
    <col min="14912" max="14912" width="5.453125" customWidth="1"/>
    <col min="14913" max="14917" width="0" hidden="1" customWidth="1"/>
    <col min="14918" max="14918" width="5.36328125" customWidth="1"/>
    <col min="14919" max="14923" width="0" hidden="1" customWidth="1"/>
    <col min="14924" max="14924" width="5.36328125" customWidth="1"/>
    <col min="14925" max="14925" width="4.36328125" customWidth="1"/>
    <col min="14926" max="14926" width="5.36328125" customWidth="1"/>
    <col min="14927" max="14927" width="4.36328125" customWidth="1"/>
    <col min="14928" max="14928" width="5.90625" customWidth="1"/>
    <col min="14929" max="14929" width="4.90625" customWidth="1"/>
    <col min="14930" max="14930" width="6.36328125" customWidth="1"/>
    <col min="14931" max="14931" width="5.90625" customWidth="1"/>
    <col min="14932" max="14932" width="11.36328125" customWidth="1"/>
    <col min="15105" max="15105" width="3.1796875" customWidth="1"/>
    <col min="15106" max="15106" width="4.08984375" customWidth="1"/>
    <col min="15107" max="15107" width="8.7265625" customWidth="1"/>
    <col min="15108" max="15108" width="11.26953125" bestFit="1" customWidth="1"/>
    <col min="15109" max="15113" width="0" hidden="1" customWidth="1"/>
    <col min="15114" max="15114" width="5" customWidth="1"/>
    <col min="15115" max="15119" width="0" hidden="1" customWidth="1"/>
    <col min="15120" max="15120" width="5.26953125" customWidth="1"/>
    <col min="15121" max="15125" width="0" hidden="1" customWidth="1"/>
    <col min="15126" max="15126" width="5.26953125" customWidth="1"/>
    <col min="15127" max="15131" width="0" hidden="1" customWidth="1"/>
    <col min="15132" max="15132" width="5.81640625" customWidth="1"/>
    <col min="15133" max="15137" width="0" hidden="1" customWidth="1"/>
    <col min="15138" max="15138" width="5.26953125" customWidth="1"/>
    <col min="15139" max="15143" width="0" hidden="1" customWidth="1"/>
    <col min="15144" max="15144" width="5" customWidth="1"/>
    <col min="15145" max="15149" width="0" hidden="1" customWidth="1"/>
    <col min="15150" max="15150" width="5.08984375" customWidth="1"/>
    <col min="15151" max="15155" width="0" hidden="1" customWidth="1"/>
    <col min="15156" max="15156" width="4.81640625" customWidth="1"/>
    <col min="15157" max="15161" width="0" hidden="1" customWidth="1"/>
    <col min="15162" max="15162" width="4.81640625" customWidth="1"/>
    <col min="15163" max="15167" width="0" hidden="1" customWidth="1"/>
    <col min="15168" max="15168" width="5.453125" customWidth="1"/>
    <col min="15169" max="15173" width="0" hidden="1" customWidth="1"/>
    <col min="15174" max="15174" width="5.36328125" customWidth="1"/>
    <col min="15175" max="15179" width="0" hidden="1" customWidth="1"/>
    <col min="15180" max="15180" width="5.36328125" customWidth="1"/>
    <col min="15181" max="15181" width="4.36328125" customWidth="1"/>
    <col min="15182" max="15182" width="5.36328125" customWidth="1"/>
    <col min="15183" max="15183" width="4.36328125" customWidth="1"/>
    <col min="15184" max="15184" width="5.90625" customWidth="1"/>
    <col min="15185" max="15185" width="4.90625" customWidth="1"/>
    <col min="15186" max="15186" width="6.36328125" customWidth="1"/>
    <col min="15187" max="15187" width="5.90625" customWidth="1"/>
    <col min="15188" max="15188" width="11.36328125" customWidth="1"/>
    <col min="15361" max="15361" width="3.1796875" customWidth="1"/>
    <col min="15362" max="15362" width="4.08984375" customWidth="1"/>
    <col min="15363" max="15363" width="8.7265625" customWidth="1"/>
    <col min="15364" max="15364" width="11.26953125" bestFit="1" customWidth="1"/>
    <col min="15365" max="15369" width="0" hidden="1" customWidth="1"/>
    <col min="15370" max="15370" width="5" customWidth="1"/>
    <col min="15371" max="15375" width="0" hidden="1" customWidth="1"/>
    <col min="15376" max="15376" width="5.26953125" customWidth="1"/>
    <col min="15377" max="15381" width="0" hidden="1" customWidth="1"/>
    <col min="15382" max="15382" width="5.26953125" customWidth="1"/>
    <col min="15383" max="15387" width="0" hidden="1" customWidth="1"/>
    <col min="15388" max="15388" width="5.81640625" customWidth="1"/>
    <col min="15389" max="15393" width="0" hidden="1" customWidth="1"/>
    <col min="15394" max="15394" width="5.26953125" customWidth="1"/>
    <col min="15395" max="15399" width="0" hidden="1" customWidth="1"/>
    <col min="15400" max="15400" width="5" customWidth="1"/>
    <col min="15401" max="15405" width="0" hidden="1" customWidth="1"/>
    <col min="15406" max="15406" width="5.08984375" customWidth="1"/>
    <col min="15407" max="15411" width="0" hidden="1" customWidth="1"/>
    <col min="15412" max="15412" width="4.81640625" customWidth="1"/>
    <col min="15413" max="15417" width="0" hidden="1" customWidth="1"/>
    <col min="15418" max="15418" width="4.81640625" customWidth="1"/>
    <col min="15419" max="15423" width="0" hidden="1" customWidth="1"/>
    <col min="15424" max="15424" width="5.453125" customWidth="1"/>
    <col min="15425" max="15429" width="0" hidden="1" customWidth="1"/>
    <col min="15430" max="15430" width="5.36328125" customWidth="1"/>
    <col min="15431" max="15435" width="0" hidden="1" customWidth="1"/>
    <col min="15436" max="15436" width="5.36328125" customWidth="1"/>
    <col min="15437" max="15437" width="4.36328125" customWidth="1"/>
    <col min="15438" max="15438" width="5.36328125" customWidth="1"/>
    <col min="15439" max="15439" width="4.36328125" customWidth="1"/>
    <col min="15440" max="15440" width="5.90625" customWidth="1"/>
    <col min="15441" max="15441" width="4.90625" customWidth="1"/>
    <col min="15442" max="15442" width="6.36328125" customWidth="1"/>
    <col min="15443" max="15443" width="5.90625" customWidth="1"/>
    <col min="15444" max="15444" width="11.36328125" customWidth="1"/>
    <col min="15617" max="15617" width="3.1796875" customWidth="1"/>
    <col min="15618" max="15618" width="4.08984375" customWidth="1"/>
    <col min="15619" max="15619" width="8.7265625" customWidth="1"/>
    <col min="15620" max="15620" width="11.26953125" bestFit="1" customWidth="1"/>
    <col min="15621" max="15625" width="0" hidden="1" customWidth="1"/>
    <col min="15626" max="15626" width="5" customWidth="1"/>
    <col min="15627" max="15631" width="0" hidden="1" customWidth="1"/>
    <col min="15632" max="15632" width="5.26953125" customWidth="1"/>
    <col min="15633" max="15637" width="0" hidden="1" customWidth="1"/>
    <col min="15638" max="15638" width="5.26953125" customWidth="1"/>
    <col min="15639" max="15643" width="0" hidden="1" customWidth="1"/>
    <col min="15644" max="15644" width="5.81640625" customWidth="1"/>
    <col min="15645" max="15649" width="0" hidden="1" customWidth="1"/>
    <col min="15650" max="15650" width="5.26953125" customWidth="1"/>
    <col min="15651" max="15655" width="0" hidden="1" customWidth="1"/>
    <col min="15656" max="15656" width="5" customWidth="1"/>
    <col min="15657" max="15661" width="0" hidden="1" customWidth="1"/>
    <col min="15662" max="15662" width="5.08984375" customWidth="1"/>
    <col min="15663" max="15667" width="0" hidden="1" customWidth="1"/>
    <col min="15668" max="15668" width="4.81640625" customWidth="1"/>
    <col min="15669" max="15673" width="0" hidden="1" customWidth="1"/>
    <col min="15674" max="15674" width="4.81640625" customWidth="1"/>
    <col min="15675" max="15679" width="0" hidden="1" customWidth="1"/>
    <col min="15680" max="15680" width="5.453125" customWidth="1"/>
    <col min="15681" max="15685" width="0" hidden="1" customWidth="1"/>
    <col min="15686" max="15686" width="5.36328125" customWidth="1"/>
    <col min="15687" max="15691" width="0" hidden="1" customWidth="1"/>
    <col min="15692" max="15692" width="5.36328125" customWidth="1"/>
    <col min="15693" max="15693" width="4.36328125" customWidth="1"/>
    <col min="15694" max="15694" width="5.36328125" customWidth="1"/>
    <col min="15695" max="15695" width="4.36328125" customWidth="1"/>
    <col min="15696" max="15696" width="5.90625" customWidth="1"/>
    <col min="15697" max="15697" width="4.90625" customWidth="1"/>
    <col min="15698" max="15698" width="6.36328125" customWidth="1"/>
    <col min="15699" max="15699" width="5.90625" customWidth="1"/>
    <col min="15700" max="15700" width="11.36328125" customWidth="1"/>
    <col min="15873" max="15873" width="3.1796875" customWidth="1"/>
    <col min="15874" max="15874" width="4.08984375" customWidth="1"/>
    <col min="15875" max="15875" width="8.7265625" customWidth="1"/>
    <col min="15876" max="15876" width="11.26953125" bestFit="1" customWidth="1"/>
    <col min="15877" max="15881" width="0" hidden="1" customWidth="1"/>
    <col min="15882" max="15882" width="5" customWidth="1"/>
    <col min="15883" max="15887" width="0" hidden="1" customWidth="1"/>
    <col min="15888" max="15888" width="5.26953125" customWidth="1"/>
    <col min="15889" max="15893" width="0" hidden="1" customWidth="1"/>
    <col min="15894" max="15894" width="5.26953125" customWidth="1"/>
    <col min="15895" max="15899" width="0" hidden="1" customWidth="1"/>
    <col min="15900" max="15900" width="5.81640625" customWidth="1"/>
    <col min="15901" max="15905" width="0" hidden="1" customWidth="1"/>
    <col min="15906" max="15906" width="5.26953125" customWidth="1"/>
    <col min="15907" max="15911" width="0" hidden="1" customWidth="1"/>
    <col min="15912" max="15912" width="5" customWidth="1"/>
    <col min="15913" max="15917" width="0" hidden="1" customWidth="1"/>
    <col min="15918" max="15918" width="5.08984375" customWidth="1"/>
    <col min="15919" max="15923" width="0" hidden="1" customWidth="1"/>
    <col min="15924" max="15924" width="4.81640625" customWidth="1"/>
    <col min="15925" max="15929" width="0" hidden="1" customWidth="1"/>
    <col min="15930" max="15930" width="4.81640625" customWidth="1"/>
    <col min="15931" max="15935" width="0" hidden="1" customWidth="1"/>
    <col min="15936" max="15936" width="5.453125" customWidth="1"/>
    <col min="15937" max="15941" width="0" hidden="1" customWidth="1"/>
    <col min="15942" max="15942" width="5.36328125" customWidth="1"/>
    <col min="15943" max="15947" width="0" hidden="1" customWidth="1"/>
    <col min="15948" max="15948" width="5.36328125" customWidth="1"/>
    <col min="15949" max="15949" width="4.36328125" customWidth="1"/>
    <col min="15950" max="15950" width="5.36328125" customWidth="1"/>
    <col min="15951" max="15951" width="4.36328125" customWidth="1"/>
    <col min="15952" max="15952" width="5.90625" customWidth="1"/>
    <col min="15953" max="15953" width="4.90625" customWidth="1"/>
    <col min="15954" max="15954" width="6.36328125" customWidth="1"/>
    <col min="15955" max="15955" width="5.90625" customWidth="1"/>
    <col min="15956" max="15956" width="11.36328125" customWidth="1"/>
    <col min="16129" max="16129" width="3.1796875" customWidth="1"/>
    <col min="16130" max="16130" width="4.08984375" customWidth="1"/>
    <col min="16131" max="16131" width="8.7265625" customWidth="1"/>
    <col min="16132" max="16132" width="11.26953125" bestFit="1" customWidth="1"/>
    <col min="16133" max="16137" width="0" hidden="1" customWidth="1"/>
    <col min="16138" max="16138" width="5" customWidth="1"/>
    <col min="16139" max="16143" width="0" hidden="1" customWidth="1"/>
    <col min="16144" max="16144" width="5.26953125" customWidth="1"/>
    <col min="16145" max="16149" width="0" hidden="1" customWidth="1"/>
    <col min="16150" max="16150" width="5.26953125" customWidth="1"/>
    <col min="16151" max="16155" width="0" hidden="1" customWidth="1"/>
    <col min="16156" max="16156" width="5.81640625" customWidth="1"/>
    <col min="16157" max="16161" width="0" hidden="1" customWidth="1"/>
    <col min="16162" max="16162" width="5.26953125" customWidth="1"/>
    <col min="16163" max="16167" width="0" hidden="1" customWidth="1"/>
    <col min="16168" max="16168" width="5" customWidth="1"/>
    <col min="16169" max="16173" width="0" hidden="1" customWidth="1"/>
    <col min="16174" max="16174" width="5.08984375" customWidth="1"/>
    <col min="16175" max="16179" width="0" hidden="1" customWidth="1"/>
    <col min="16180" max="16180" width="4.81640625" customWidth="1"/>
    <col min="16181" max="16185" width="0" hidden="1" customWidth="1"/>
    <col min="16186" max="16186" width="4.81640625" customWidth="1"/>
    <col min="16187" max="16191" width="0" hidden="1" customWidth="1"/>
    <col min="16192" max="16192" width="5.453125" customWidth="1"/>
    <col min="16193" max="16197" width="0" hidden="1" customWidth="1"/>
    <col min="16198" max="16198" width="5.36328125" customWidth="1"/>
    <col min="16199" max="16203" width="0" hidden="1" customWidth="1"/>
    <col min="16204" max="16204" width="5.36328125" customWidth="1"/>
    <col min="16205" max="16205" width="4.36328125" customWidth="1"/>
    <col min="16206" max="16206" width="5.36328125" customWidth="1"/>
    <col min="16207" max="16207" width="4.36328125" customWidth="1"/>
    <col min="16208" max="16208" width="5.90625" customWidth="1"/>
    <col min="16209" max="16209" width="4.90625" customWidth="1"/>
    <col min="16210" max="16210" width="6.36328125" customWidth="1"/>
    <col min="16211" max="16211" width="5.90625" customWidth="1"/>
    <col min="16212" max="16212" width="11.36328125" customWidth="1"/>
  </cols>
  <sheetData>
    <row r="1" spans="1:84" ht="23">
      <c r="A1" s="154" t="s">
        <v>188</v>
      </c>
      <c r="D1" s="155"/>
      <c r="E1" s="133"/>
      <c r="F1" s="133"/>
      <c r="G1" s="133"/>
      <c r="H1" s="133"/>
      <c r="I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  <c r="BG1" s="133"/>
      <c r="BH1" s="133"/>
      <c r="BI1" s="133"/>
      <c r="BJ1" s="133"/>
      <c r="BK1" s="133"/>
      <c r="BL1" s="133"/>
      <c r="BM1" s="133"/>
      <c r="BN1" s="133"/>
      <c r="BO1" s="133"/>
      <c r="BP1" s="133"/>
      <c r="BQ1" s="133"/>
      <c r="BR1" s="133"/>
      <c r="BS1" s="133"/>
      <c r="BT1" s="133"/>
      <c r="BU1" s="133"/>
      <c r="BV1" s="133"/>
      <c r="BW1" s="133"/>
      <c r="BX1" s="133"/>
      <c r="CE1" s="133"/>
    </row>
    <row r="2" spans="1:84" ht="23">
      <c r="A2" s="124" t="s">
        <v>206</v>
      </c>
      <c r="D2" s="124" t="s">
        <v>236</v>
      </c>
    </row>
    <row r="3" spans="1:84" s="212" customFormat="1">
      <c r="A3" s="156"/>
      <c r="B3" s="157"/>
      <c r="C3" s="158"/>
      <c r="D3" s="158"/>
      <c r="E3" s="250">
        <v>39814</v>
      </c>
      <c r="F3" s="250"/>
      <c r="G3" s="250"/>
      <c r="H3" s="250"/>
      <c r="I3" s="250"/>
      <c r="J3" s="250"/>
      <c r="K3" s="250">
        <v>39845</v>
      </c>
      <c r="L3" s="250"/>
      <c r="M3" s="250"/>
      <c r="N3" s="250"/>
      <c r="O3" s="250"/>
      <c r="P3" s="250"/>
      <c r="Q3" s="250">
        <v>39873</v>
      </c>
      <c r="R3" s="250"/>
      <c r="S3" s="250"/>
      <c r="T3" s="250"/>
      <c r="U3" s="250"/>
      <c r="V3" s="250"/>
      <c r="W3" s="250">
        <v>39904</v>
      </c>
      <c r="X3" s="250"/>
      <c r="Y3" s="250"/>
      <c r="Z3" s="250"/>
      <c r="AA3" s="250"/>
      <c r="AB3" s="250"/>
      <c r="AC3" s="250">
        <v>39934</v>
      </c>
      <c r="AD3" s="250"/>
      <c r="AE3" s="250"/>
      <c r="AF3" s="250"/>
      <c r="AG3" s="250"/>
      <c r="AH3" s="250"/>
      <c r="AI3" s="250">
        <v>39965</v>
      </c>
      <c r="AJ3" s="250"/>
      <c r="AK3" s="250"/>
      <c r="AL3" s="250"/>
      <c r="AM3" s="250"/>
      <c r="AN3" s="250"/>
      <c r="AO3" s="250">
        <v>39995</v>
      </c>
      <c r="AP3" s="250"/>
      <c r="AQ3" s="250"/>
      <c r="AR3" s="250"/>
      <c r="AS3" s="250"/>
      <c r="AT3" s="250"/>
      <c r="AU3" s="250">
        <v>40026</v>
      </c>
      <c r="AV3" s="250"/>
      <c r="AW3" s="250"/>
      <c r="AX3" s="250"/>
      <c r="AY3" s="250"/>
      <c r="AZ3" s="250"/>
      <c r="BA3" s="250">
        <v>40057</v>
      </c>
      <c r="BB3" s="250"/>
      <c r="BC3" s="250"/>
      <c r="BD3" s="250"/>
      <c r="BE3" s="250"/>
      <c r="BF3" s="250"/>
      <c r="BG3" s="250">
        <v>40087</v>
      </c>
      <c r="BH3" s="250"/>
      <c r="BI3" s="250"/>
      <c r="BJ3" s="250"/>
      <c r="BK3" s="250"/>
      <c r="BL3" s="250"/>
      <c r="BM3" s="250">
        <v>40118</v>
      </c>
      <c r="BN3" s="250"/>
      <c r="BO3" s="250"/>
      <c r="BP3" s="250"/>
      <c r="BQ3" s="250"/>
      <c r="BR3" s="250"/>
      <c r="BS3" s="250">
        <v>40148</v>
      </c>
      <c r="BT3" s="250"/>
      <c r="BU3" s="250"/>
      <c r="BV3" s="250"/>
      <c r="BW3" s="250"/>
      <c r="BX3" s="250"/>
      <c r="BY3" s="211"/>
      <c r="BZ3" s="250" t="s">
        <v>198</v>
      </c>
      <c r="CA3" s="250"/>
      <c r="CB3" s="250"/>
      <c r="CC3" s="250"/>
      <c r="CD3" s="250"/>
      <c r="CE3" s="251"/>
    </row>
    <row r="4" spans="1:84" s="213" customFormat="1" ht="24" customHeight="1">
      <c r="A4" s="159" t="s">
        <v>207</v>
      </c>
      <c r="B4" s="252" t="s">
        <v>2</v>
      </c>
      <c r="C4" s="253"/>
      <c r="D4" s="161" t="s">
        <v>199</v>
      </c>
      <c r="E4" s="160" t="s">
        <v>200</v>
      </c>
      <c r="F4" s="162" t="s">
        <v>201</v>
      </c>
      <c r="G4" s="163" t="s">
        <v>202</v>
      </c>
      <c r="H4" s="162" t="s">
        <v>203</v>
      </c>
      <c r="I4" s="163" t="s">
        <v>204</v>
      </c>
      <c r="J4" s="164" t="s">
        <v>205</v>
      </c>
      <c r="K4" s="162" t="s">
        <v>200</v>
      </c>
      <c r="L4" s="162" t="s">
        <v>201</v>
      </c>
      <c r="M4" s="163" t="s">
        <v>202</v>
      </c>
      <c r="N4" s="162" t="s">
        <v>203</v>
      </c>
      <c r="O4" s="163" t="s">
        <v>204</v>
      </c>
      <c r="P4" s="164" t="s">
        <v>205</v>
      </c>
      <c r="Q4" s="162" t="s">
        <v>200</v>
      </c>
      <c r="R4" s="162" t="s">
        <v>201</v>
      </c>
      <c r="S4" s="163" t="s">
        <v>202</v>
      </c>
      <c r="T4" s="162" t="s">
        <v>203</v>
      </c>
      <c r="U4" s="163" t="s">
        <v>204</v>
      </c>
      <c r="V4" s="164" t="s">
        <v>205</v>
      </c>
      <c r="W4" s="162" t="s">
        <v>200</v>
      </c>
      <c r="X4" s="162" t="s">
        <v>201</v>
      </c>
      <c r="Y4" s="163" t="s">
        <v>202</v>
      </c>
      <c r="Z4" s="162" t="s">
        <v>203</v>
      </c>
      <c r="AA4" s="163" t="s">
        <v>204</v>
      </c>
      <c r="AB4" s="164" t="s">
        <v>205</v>
      </c>
      <c r="AC4" s="162" t="s">
        <v>200</v>
      </c>
      <c r="AD4" s="162" t="s">
        <v>201</v>
      </c>
      <c r="AE4" s="163" t="s">
        <v>202</v>
      </c>
      <c r="AF4" s="162" t="s">
        <v>203</v>
      </c>
      <c r="AG4" s="163" t="s">
        <v>204</v>
      </c>
      <c r="AH4" s="164" t="s">
        <v>205</v>
      </c>
      <c r="AI4" s="162" t="s">
        <v>200</v>
      </c>
      <c r="AJ4" s="162" t="s">
        <v>201</v>
      </c>
      <c r="AK4" s="163" t="s">
        <v>202</v>
      </c>
      <c r="AL4" s="162" t="s">
        <v>203</v>
      </c>
      <c r="AM4" s="163" t="s">
        <v>204</v>
      </c>
      <c r="AN4" s="164" t="s">
        <v>205</v>
      </c>
      <c r="AO4" s="162" t="s">
        <v>200</v>
      </c>
      <c r="AP4" s="162" t="s">
        <v>201</v>
      </c>
      <c r="AQ4" s="163" t="s">
        <v>202</v>
      </c>
      <c r="AR4" s="162" t="s">
        <v>203</v>
      </c>
      <c r="AS4" s="163" t="s">
        <v>204</v>
      </c>
      <c r="AT4" s="164" t="s">
        <v>205</v>
      </c>
      <c r="AU4" s="162" t="s">
        <v>200</v>
      </c>
      <c r="AV4" s="162" t="s">
        <v>201</v>
      </c>
      <c r="AW4" s="163" t="s">
        <v>202</v>
      </c>
      <c r="AX4" s="162" t="s">
        <v>203</v>
      </c>
      <c r="AY4" s="163" t="s">
        <v>204</v>
      </c>
      <c r="AZ4" s="164" t="s">
        <v>205</v>
      </c>
      <c r="BA4" s="162" t="s">
        <v>200</v>
      </c>
      <c r="BB4" s="162" t="s">
        <v>201</v>
      </c>
      <c r="BC4" s="163" t="s">
        <v>202</v>
      </c>
      <c r="BD4" s="162" t="s">
        <v>203</v>
      </c>
      <c r="BE4" s="163" t="s">
        <v>204</v>
      </c>
      <c r="BF4" s="164" t="s">
        <v>205</v>
      </c>
      <c r="BG4" s="162" t="s">
        <v>200</v>
      </c>
      <c r="BH4" s="162" t="s">
        <v>201</v>
      </c>
      <c r="BI4" s="163" t="s">
        <v>202</v>
      </c>
      <c r="BJ4" s="162" t="s">
        <v>203</v>
      </c>
      <c r="BK4" s="163" t="s">
        <v>204</v>
      </c>
      <c r="BL4" s="164" t="s">
        <v>205</v>
      </c>
      <c r="BM4" s="162" t="s">
        <v>200</v>
      </c>
      <c r="BN4" s="162" t="s">
        <v>201</v>
      </c>
      <c r="BO4" s="163" t="s">
        <v>202</v>
      </c>
      <c r="BP4" s="162" t="s">
        <v>203</v>
      </c>
      <c r="BQ4" s="163" t="s">
        <v>204</v>
      </c>
      <c r="BR4" s="164" t="s">
        <v>205</v>
      </c>
      <c r="BS4" s="162" t="s">
        <v>200</v>
      </c>
      <c r="BT4" s="162" t="s">
        <v>201</v>
      </c>
      <c r="BU4" s="163" t="s">
        <v>202</v>
      </c>
      <c r="BV4" s="162" t="s">
        <v>203</v>
      </c>
      <c r="BW4" s="163" t="s">
        <v>204</v>
      </c>
      <c r="BX4" s="164" t="s">
        <v>205</v>
      </c>
      <c r="BZ4" s="165" t="s">
        <v>200</v>
      </c>
      <c r="CA4" s="166" t="s">
        <v>201</v>
      </c>
      <c r="CB4" s="167" t="s">
        <v>202</v>
      </c>
      <c r="CC4" s="166" t="s">
        <v>203</v>
      </c>
      <c r="CD4" s="167" t="s">
        <v>204</v>
      </c>
      <c r="CE4" s="214" t="s">
        <v>205</v>
      </c>
    </row>
    <row r="5" spans="1:84" ht="21.75" customHeight="1">
      <c r="A5" s="71">
        <v>1</v>
      </c>
      <c r="B5" s="137" t="s">
        <v>36</v>
      </c>
      <c r="C5" s="64" t="s">
        <v>37</v>
      </c>
      <c r="D5" s="14" t="s">
        <v>38</v>
      </c>
      <c r="E5" s="82"/>
      <c r="F5" s="71"/>
      <c r="G5" s="71"/>
      <c r="H5" s="71"/>
      <c r="I5" s="71"/>
      <c r="J5" s="138"/>
      <c r="K5" s="69"/>
      <c r="L5" s="71">
        <v>1</v>
      </c>
      <c r="M5" s="71"/>
      <c r="N5" s="71"/>
      <c r="O5" s="71"/>
      <c r="P5" s="138"/>
      <c r="Q5" s="69"/>
      <c r="R5" s="71"/>
      <c r="S5" s="71"/>
      <c r="T5" s="71"/>
      <c r="U5" s="71"/>
      <c r="V5" s="138"/>
      <c r="W5" s="69"/>
      <c r="X5" s="71"/>
      <c r="Y5" s="71"/>
      <c r="Z5" s="71">
        <v>1</v>
      </c>
      <c r="AA5" s="71">
        <v>1</v>
      </c>
      <c r="AB5" s="138"/>
      <c r="AC5" s="69"/>
      <c r="AD5" s="71"/>
      <c r="AE5" s="71"/>
      <c r="AF5" s="71">
        <v>1</v>
      </c>
      <c r="AG5" s="71"/>
      <c r="AH5" s="138"/>
      <c r="AI5" s="69"/>
      <c r="AJ5" s="71"/>
      <c r="AK5" s="71"/>
      <c r="AL5" s="71">
        <v>0.5</v>
      </c>
      <c r="AM5" s="71"/>
      <c r="AN5" s="138"/>
      <c r="AO5" s="69"/>
      <c r="AP5" s="71"/>
      <c r="AQ5" s="71"/>
      <c r="AR5" s="71">
        <v>0.5</v>
      </c>
      <c r="AS5" s="71"/>
      <c r="AT5" s="138"/>
      <c r="AU5" s="69"/>
      <c r="AV5" s="71">
        <v>1.5</v>
      </c>
      <c r="AW5" s="71"/>
      <c r="AX5" s="71"/>
      <c r="AY5" s="71"/>
      <c r="AZ5" s="138"/>
      <c r="BA5" s="69"/>
      <c r="BB5" s="71"/>
      <c r="BC5" s="71"/>
      <c r="BD5" s="71">
        <v>1</v>
      </c>
      <c r="BE5" s="71"/>
      <c r="BF5" s="138"/>
      <c r="BG5" s="69"/>
      <c r="BH5" s="71">
        <v>0.5</v>
      </c>
      <c r="BI5" s="71"/>
      <c r="BJ5" s="71"/>
      <c r="BK5" s="71"/>
      <c r="BL5" s="138"/>
      <c r="BM5" s="69"/>
      <c r="BN5" s="71"/>
      <c r="BO5" s="71"/>
      <c r="BP5" s="71"/>
      <c r="BQ5" s="71"/>
      <c r="BR5" s="138"/>
      <c r="BS5" s="69"/>
      <c r="BT5" s="71">
        <v>1</v>
      </c>
      <c r="BU5" s="71"/>
      <c r="BV5" s="71"/>
      <c r="BW5" s="71"/>
      <c r="BX5" s="138"/>
      <c r="BZ5" s="139">
        <f t="shared" ref="BZ5:CE20" si="0">+E5+K5+Q5+W5+AC5+AI5+AO5+AU5+BA5+BG5+BM5+BS5</f>
        <v>0</v>
      </c>
      <c r="CA5" s="140">
        <f t="shared" si="0"/>
        <v>4</v>
      </c>
      <c r="CB5" s="140">
        <f t="shared" si="0"/>
        <v>0</v>
      </c>
      <c r="CC5" s="140">
        <f t="shared" si="0"/>
        <v>4</v>
      </c>
      <c r="CD5" s="141">
        <f t="shared" si="0"/>
        <v>1</v>
      </c>
      <c r="CE5" s="142">
        <f t="shared" si="0"/>
        <v>0</v>
      </c>
      <c r="CF5" s="215"/>
    </row>
    <row r="6" spans="1:84">
      <c r="A6" s="71">
        <v>2</v>
      </c>
      <c r="B6" s="137" t="s">
        <v>36</v>
      </c>
      <c r="C6" s="64" t="s">
        <v>41</v>
      </c>
      <c r="D6" s="14" t="s">
        <v>42</v>
      </c>
      <c r="E6" s="82"/>
      <c r="F6" s="71">
        <v>6</v>
      </c>
      <c r="G6" s="71"/>
      <c r="H6" s="71">
        <v>1</v>
      </c>
      <c r="I6" s="71"/>
      <c r="J6" s="138"/>
      <c r="K6" s="69">
        <v>2.5</v>
      </c>
      <c r="L6" s="71"/>
      <c r="M6" s="71"/>
      <c r="N6" s="71">
        <v>1.5</v>
      </c>
      <c r="O6" s="71"/>
      <c r="P6" s="138"/>
      <c r="Q6" s="69">
        <v>2</v>
      </c>
      <c r="R6" s="71"/>
      <c r="S6" s="71"/>
      <c r="T6" s="71">
        <v>1.5</v>
      </c>
      <c r="U6" s="71"/>
      <c r="V6" s="138"/>
      <c r="W6" s="69">
        <v>7</v>
      </c>
      <c r="X6" s="71"/>
      <c r="Y6" s="71">
        <v>1</v>
      </c>
      <c r="Z6" s="71">
        <v>0.5</v>
      </c>
      <c r="AA6" s="71"/>
      <c r="AB6" s="138"/>
      <c r="AC6" s="69"/>
      <c r="AD6" s="71"/>
      <c r="AE6" s="71">
        <v>1</v>
      </c>
      <c r="AF6" s="71">
        <v>0.5</v>
      </c>
      <c r="AG6" s="71"/>
      <c r="AH6" s="138"/>
      <c r="AI6" s="69">
        <v>8</v>
      </c>
      <c r="AJ6" s="71"/>
      <c r="AK6" s="71"/>
      <c r="AL6" s="71">
        <v>1</v>
      </c>
      <c r="AM6" s="71"/>
      <c r="AN6" s="138"/>
      <c r="AO6" s="69">
        <v>3</v>
      </c>
      <c r="AP6" s="71"/>
      <c r="AQ6" s="71">
        <v>0.5</v>
      </c>
      <c r="AR6" s="71"/>
      <c r="AS6" s="71"/>
      <c r="AT6" s="138">
        <v>1.3888888888888889E-3</v>
      </c>
      <c r="AU6" s="69">
        <v>3</v>
      </c>
      <c r="AV6" s="71"/>
      <c r="AW6" s="71"/>
      <c r="AX6" s="71"/>
      <c r="AY6" s="71"/>
      <c r="AZ6" s="138"/>
      <c r="BA6" s="69">
        <v>2</v>
      </c>
      <c r="BB6" s="71"/>
      <c r="BC6" s="71">
        <v>1</v>
      </c>
      <c r="BD6" s="71"/>
      <c r="BE6" s="71"/>
      <c r="BF6" s="138"/>
      <c r="BG6" s="69">
        <v>1</v>
      </c>
      <c r="BH6" s="71"/>
      <c r="BI6" s="71"/>
      <c r="BJ6" s="71"/>
      <c r="BK6" s="71">
        <v>2</v>
      </c>
      <c r="BL6" s="138"/>
      <c r="BM6" s="69">
        <v>2</v>
      </c>
      <c r="BN6" s="71"/>
      <c r="BO6" s="71"/>
      <c r="BP6" s="71">
        <v>0.5</v>
      </c>
      <c r="BQ6" s="71"/>
      <c r="BR6" s="138"/>
      <c r="BS6" s="69"/>
      <c r="BT6" s="71"/>
      <c r="BU6" s="71">
        <v>3</v>
      </c>
      <c r="BV6" s="71"/>
      <c r="BW6" s="71">
        <v>4</v>
      </c>
      <c r="BX6" s="138"/>
      <c r="BZ6" s="139">
        <f t="shared" si="0"/>
        <v>30.5</v>
      </c>
      <c r="CA6" s="140">
        <f t="shared" si="0"/>
        <v>6</v>
      </c>
      <c r="CB6" s="140">
        <f t="shared" si="0"/>
        <v>6.5</v>
      </c>
      <c r="CC6" s="140">
        <f t="shared" si="0"/>
        <v>6.5</v>
      </c>
      <c r="CD6" s="141">
        <f t="shared" si="0"/>
        <v>6</v>
      </c>
      <c r="CE6" s="142">
        <f t="shared" si="0"/>
        <v>1.3888888888888889E-3</v>
      </c>
    </row>
    <row r="7" spans="1:84">
      <c r="A7" s="71">
        <v>3</v>
      </c>
      <c r="B7" s="137" t="s">
        <v>36</v>
      </c>
      <c r="C7" s="64" t="s">
        <v>44</v>
      </c>
      <c r="D7" s="14" t="s">
        <v>45</v>
      </c>
      <c r="E7" s="82"/>
      <c r="F7" s="71"/>
      <c r="G7" s="71"/>
      <c r="H7" s="71"/>
      <c r="I7" s="71"/>
      <c r="J7" s="138"/>
      <c r="K7" s="69"/>
      <c r="L7" s="71"/>
      <c r="M7" s="71"/>
      <c r="N7" s="71"/>
      <c r="O7" s="71"/>
      <c r="P7" s="138"/>
      <c r="Q7" s="69"/>
      <c r="R7" s="71"/>
      <c r="S7" s="71"/>
      <c r="T7" s="71"/>
      <c r="U7" s="71"/>
      <c r="V7" s="138"/>
      <c r="W7" s="69"/>
      <c r="X7" s="71"/>
      <c r="Y7" s="71"/>
      <c r="Z7" s="71"/>
      <c r="AA7" s="71"/>
      <c r="AB7" s="138"/>
      <c r="AC7" s="69">
        <v>1</v>
      </c>
      <c r="AD7" s="71"/>
      <c r="AE7" s="71"/>
      <c r="AF7" s="71"/>
      <c r="AG7" s="71"/>
      <c r="AH7" s="138"/>
      <c r="AI7" s="69">
        <v>3</v>
      </c>
      <c r="AJ7" s="71"/>
      <c r="AK7" s="71"/>
      <c r="AL7" s="71"/>
      <c r="AM7" s="71"/>
      <c r="AN7" s="138"/>
      <c r="AO7" s="69"/>
      <c r="AP7" s="71"/>
      <c r="AQ7" s="71"/>
      <c r="AR7" s="71"/>
      <c r="AS7" s="71">
        <v>2</v>
      </c>
      <c r="AT7" s="138"/>
      <c r="AU7" s="69"/>
      <c r="AV7" s="71"/>
      <c r="AW7" s="71"/>
      <c r="AX7" s="71"/>
      <c r="AY7" s="71">
        <v>1</v>
      </c>
      <c r="AZ7" s="138"/>
      <c r="BA7" s="69"/>
      <c r="BB7" s="71"/>
      <c r="BC7" s="71"/>
      <c r="BD7" s="71"/>
      <c r="BE7" s="71"/>
      <c r="BF7" s="138"/>
      <c r="BG7" s="69"/>
      <c r="BH7" s="71"/>
      <c r="BI7" s="71"/>
      <c r="BJ7" s="71"/>
      <c r="BK7" s="71"/>
      <c r="BL7" s="138"/>
      <c r="BM7" s="69">
        <v>0.5</v>
      </c>
      <c r="BN7" s="71">
        <v>1</v>
      </c>
      <c r="BO7" s="71"/>
      <c r="BP7" s="71"/>
      <c r="BQ7" s="71"/>
      <c r="BR7" s="138"/>
      <c r="BS7" s="69">
        <v>1</v>
      </c>
      <c r="BT7" s="71"/>
      <c r="BU7" s="71"/>
      <c r="BV7" s="71"/>
      <c r="BW7" s="71">
        <v>3</v>
      </c>
      <c r="BX7" s="138"/>
      <c r="BZ7" s="139">
        <f t="shared" si="0"/>
        <v>5.5</v>
      </c>
      <c r="CA7" s="140">
        <f t="shared" si="0"/>
        <v>1</v>
      </c>
      <c r="CB7" s="140">
        <f t="shared" si="0"/>
        <v>0</v>
      </c>
      <c r="CC7" s="140">
        <f t="shared" si="0"/>
        <v>0</v>
      </c>
      <c r="CD7" s="141">
        <f t="shared" si="0"/>
        <v>6</v>
      </c>
      <c r="CE7" s="142">
        <f t="shared" si="0"/>
        <v>0</v>
      </c>
    </row>
    <row r="8" spans="1:84">
      <c r="A8" s="71">
        <v>4</v>
      </c>
      <c r="B8" s="137" t="s">
        <v>26</v>
      </c>
      <c r="C8" s="74" t="s">
        <v>47</v>
      </c>
      <c r="D8" s="107" t="s">
        <v>48</v>
      </c>
      <c r="E8" s="69">
        <v>2</v>
      </c>
      <c r="F8" s="71">
        <v>0.5</v>
      </c>
      <c r="G8" s="71"/>
      <c r="H8" s="71"/>
      <c r="I8" s="71">
        <v>2</v>
      </c>
      <c r="J8" s="138"/>
      <c r="K8" s="69">
        <v>2</v>
      </c>
      <c r="L8" s="71"/>
      <c r="M8" s="71"/>
      <c r="N8" s="71"/>
      <c r="O8" s="71"/>
      <c r="P8" s="138"/>
      <c r="Q8" s="69">
        <v>1</v>
      </c>
      <c r="R8" s="71">
        <v>1.5</v>
      </c>
      <c r="S8" s="71"/>
      <c r="T8" s="71"/>
      <c r="U8" s="71">
        <v>1</v>
      </c>
      <c r="V8" s="138"/>
      <c r="W8" s="69">
        <v>2</v>
      </c>
      <c r="X8" s="71">
        <v>0.5</v>
      </c>
      <c r="Y8" s="71"/>
      <c r="Z8" s="71"/>
      <c r="AA8" s="71"/>
      <c r="AB8" s="138"/>
      <c r="AC8" s="69">
        <v>1</v>
      </c>
      <c r="AD8" s="71">
        <v>1</v>
      </c>
      <c r="AE8" s="71"/>
      <c r="AF8" s="71"/>
      <c r="AG8" s="71">
        <v>1</v>
      </c>
      <c r="AH8" s="138"/>
      <c r="AI8" s="69">
        <v>3</v>
      </c>
      <c r="AJ8" s="71"/>
      <c r="AK8" s="71"/>
      <c r="AL8" s="71"/>
      <c r="AM8" s="71"/>
      <c r="AN8" s="138"/>
      <c r="AO8" s="69"/>
      <c r="AP8" s="71"/>
      <c r="AQ8" s="71"/>
      <c r="AR8" s="71"/>
      <c r="AS8" s="71">
        <v>1</v>
      </c>
      <c r="AT8" s="138"/>
      <c r="AU8" s="69">
        <v>2</v>
      </c>
      <c r="AV8" s="71"/>
      <c r="AW8" s="71"/>
      <c r="AX8" s="71"/>
      <c r="AY8" s="71"/>
      <c r="AZ8" s="138"/>
      <c r="BA8" s="69">
        <v>1</v>
      </c>
      <c r="BB8" s="71">
        <v>1</v>
      </c>
      <c r="BC8" s="71"/>
      <c r="BD8" s="71"/>
      <c r="BE8" s="71"/>
      <c r="BF8" s="138"/>
      <c r="BG8" s="69">
        <v>3</v>
      </c>
      <c r="BH8" s="71">
        <v>1.5</v>
      </c>
      <c r="BI8" s="71"/>
      <c r="BJ8" s="71">
        <v>1</v>
      </c>
      <c r="BK8" s="71"/>
      <c r="BL8" s="138"/>
      <c r="BM8" s="69"/>
      <c r="BN8" s="71"/>
      <c r="BO8" s="71">
        <v>0.5</v>
      </c>
      <c r="BP8" s="71"/>
      <c r="BQ8" s="71"/>
      <c r="BR8" s="138"/>
      <c r="BS8" s="69"/>
      <c r="BT8" s="71"/>
      <c r="BU8" s="71"/>
      <c r="BV8" s="71"/>
      <c r="BW8" s="71"/>
      <c r="BX8" s="138"/>
      <c r="BZ8" s="139">
        <f t="shared" si="0"/>
        <v>17</v>
      </c>
      <c r="CA8" s="140">
        <f t="shared" si="0"/>
        <v>6</v>
      </c>
      <c r="CB8" s="140">
        <f t="shared" si="0"/>
        <v>0.5</v>
      </c>
      <c r="CC8" s="143">
        <f t="shared" si="0"/>
        <v>1</v>
      </c>
      <c r="CD8" s="141">
        <f t="shared" si="0"/>
        <v>5</v>
      </c>
      <c r="CE8" s="142">
        <f t="shared" si="0"/>
        <v>0</v>
      </c>
    </row>
    <row r="9" spans="1:84">
      <c r="A9" s="71">
        <v>5</v>
      </c>
      <c r="B9" s="137" t="s">
        <v>26</v>
      </c>
      <c r="C9" s="74" t="s">
        <v>50</v>
      </c>
      <c r="D9" s="107" t="s">
        <v>51</v>
      </c>
      <c r="E9" s="69">
        <v>1.5</v>
      </c>
      <c r="F9" s="71">
        <v>1</v>
      </c>
      <c r="G9" s="71"/>
      <c r="H9" s="71"/>
      <c r="I9" s="71">
        <v>1</v>
      </c>
      <c r="J9" s="138"/>
      <c r="K9" s="69">
        <v>2</v>
      </c>
      <c r="L9" s="71">
        <v>1</v>
      </c>
      <c r="M9" s="71"/>
      <c r="N9" s="71"/>
      <c r="O9" s="71"/>
      <c r="P9" s="138"/>
      <c r="Q9" s="69">
        <v>1</v>
      </c>
      <c r="R9" s="71"/>
      <c r="S9" s="71"/>
      <c r="T9" s="71">
        <v>0.5</v>
      </c>
      <c r="U9" s="71">
        <v>1</v>
      </c>
      <c r="V9" s="138"/>
      <c r="W9" s="69">
        <v>1</v>
      </c>
      <c r="X9" s="71">
        <v>3</v>
      </c>
      <c r="Y9" s="71"/>
      <c r="Z9" s="71"/>
      <c r="AA9" s="71"/>
      <c r="AB9" s="138"/>
      <c r="AC9" s="69">
        <v>6</v>
      </c>
      <c r="AD9" s="71"/>
      <c r="AE9" s="71"/>
      <c r="AF9" s="71"/>
      <c r="AG9" s="71"/>
      <c r="AH9" s="138"/>
      <c r="AI9" s="69">
        <v>9</v>
      </c>
      <c r="AJ9" s="71">
        <v>1</v>
      </c>
      <c r="AK9" s="71">
        <v>3</v>
      </c>
      <c r="AL9" s="71"/>
      <c r="AM9" s="71"/>
      <c r="AN9" s="138"/>
      <c r="AO9" s="69">
        <v>3</v>
      </c>
      <c r="AP9" s="71"/>
      <c r="AQ9" s="71">
        <v>1</v>
      </c>
      <c r="AR9" s="71"/>
      <c r="AS9" s="71">
        <v>1</v>
      </c>
      <c r="AT9" s="138"/>
      <c r="AU9" s="69"/>
      <c r="AV9" s="71"/>
      <c r="AW9" s="71">
        <v>1</v>
      </c>
      <c r="AX9" s="71">
        <v>2</v>
      </c>
      <c r="AY9" s="71">
        <v>1</v>
      </c>
      <c r="AZ9" s="138"/>
      <c r="BA9" s="69">
        <v>2</v>
      </c>
      <c r="BB9" s="71"/>
      <c r="BC9" s="71"/>
      <c r="BD9" s="71"/>
      <c r="BE9" s="71"/>
      <c r="BF9" s="138"/>
      <c r="BG9" s="69">
        <v>1</v>
      </c>
      <c r="BH9" s="71"/>
      <c r="BI9" s="71"/>
      <c r="BJ9" s="71">
        <v>0.5</v>
      </c>
      <c r="BK9" s="71"/>
      <c r="BL9" s="138"/>
      <c r="BM9" s="69">
        <v>1.5</v>
      </c>
      <c r="BN9" s="71"/>
      <c r="BO9" s="71"/>
      <c r="BP9" s="71"/>
      <c r="BQ9" s="71">
        <v>1</v>
      </c>
      <c r="BR9" s="138"/>
      <c r="BS9" s="69"/>
      <c r="BT9" s="71"/>
      <c r="BU9" s="71">
        <v>1</v>
      </c>
      <c r="BV9" s="71">
        <v>0.5</v>
      </c>
      <c r="BW9" s="71">
        <v>1</v>
      </c>
      <c r="BX9" s="138"/>
      <c r="BZ9" s="139">
        <f t="shared" si="0"/>
        <v>28</v>
      </c>
      <c r="CA9" s="140">
        <f t="shared" si="0"/>
        <v>6</v>
      </c>
      <c r="CB9" s="140">
        <f t="shared" si="0"/>
        <v>6</v>
      </c>
      <c r="CC9" s="140">
        <f t="shared" si="0"/>
        <v>3.5</v>
      </c>
      <c r="CD9" s="141">
        <f t="shared" si="0"/>
        <v>6</v>
      </c>
      <c r="CE9" s="142">
        <f t="shared" si="0"/>
        <v>0</v>
      </c>
    </row>
    <row r="10" spans="1:84">
      <c r="A10" s="71">
        <v>6</v>
      </c>
      <c r="B10" s="137" t="s">
        <v>36</v>
      </c>
      <c r="C10" s="74" t="s">
        <v>52</v>
      </c>
      <c r="D10" s="107" t="s">
        <v>53</v>
      </c>
      <c r="E10" s="69">
        <v>1.5</v>
      </c>
      <c r="F10" s="71">
        <v>1.5</v>
      </c>
      <c r="G10" s="71"/>
      <c r="H10" s="71"/>
      <c r="I10" s="71"/>
      <c r="J10" s="138">
        <v>6.9444444444444447E-4</v>
      </c>
      <c r="K10" s="69">
        <v>2</v>
      </c>
      <c r="L10" s="71">
        <v>0.5</v>
      </c>
      <c r="M10" s="71"/>
      <c r="N10" s="71"/>
      <c r="O10" s="71"/>
      <c r="P10" s="138"/>
      <c r="Q10" s="69"/>
      <c r="R10" s="71">
        <v>1.5</v>
      </c>
      <c r="S10" s="71"/>
      <c r="T10" s="71"/>
      <c r="U10" s="71"/>
      <c r="V10" s="138">
        <v>1.3888888888888889E-3</v>
      </c>
      <c r="W10" s="69">
        <v>1</v>
      </c>
      <c r="X10" s="71"/>
      <c r="Y10" s="71"/>
      <c r="Z10" s="71">
        <v>1</v>
      </c>
      <c r="AA10" s="71">
        <v>1</v>
      </c>
      <c r="AB10" s="138">
        <v>1.3888888888888889E-3</v>
      </c>
      <c r="AC10" s="69"/>
      <c r="AD10" s="71">
        <v>1.5</v>
      </c>
      <c r="AE10" s="71"/>
      <c r="AF10" s="71">
        <v>1</v>
      </c>
      <c r="AG10" s="71"/>
      <c r="AH10" s="138"/>
      <c r="AI10" s="69">
        <v>4</v>
      </c>
      <c r="AJ10" s="71"/>
      <c r="AK10" s="71"/>
      <c r="AL10" s="71">
        <v>1</v>
      </c>
      <c r="AM10" s="71">
        <v>1</v>
      </c>
      <c r="AN10" s="138"/>
      <c r="AO10" s="69">
        <v>1</v>
      </c>
      <c r="AP10" s="71">
        <v>1</v>
      </c>
      <c r="AQ10" s="71"/>
      <c r="AR10" s="71"/>
      <c r="AS10" s="71"/>
      <c r="AT10" s="138"/>
      <c r="AU10" s="69">
        <v>2</v>
      </c>
      <c r="AV10" s="71"/>
      <c r="AW10" s="71"/>
      <c r="AX10" s="71">
        <v>0.5</v>
      </c>
      <c r="AY10" s="71"/>
      <c r="AZ10" s="138"/>
      <c r="BA10" s="69"/>
      <c r="BB10" s="71"/>
      <c r="BC10" s="71">
        <v>1</v>
      </c>
      <c r="BD10" s="71"/>
      <c r="BE10" s="71"/>
      <c r="BF10" s="138">
        <v>4.1666666666666666E-3</v>
      </c>
      <c r="BG10" s="69">
        <v>4.5</v>
      </c>
      <c r="BH10" s="71"/>
      <c r="BI10" s="71">
        <v>2</v>
      </c>
      <c r="BJ10" s="71"/>
      <c r="BK10" s="71"/>
      <c r="BL10" s="138">
        <v>1.3888888888888889E-3</v>
      </c>
      <c r="BM10" s="69">
        <v>1</v>
      </c>
      <c r="BN10" s="71"/>
      <c r="BO10" s="71">
        <v>1</v>
      </c>
      <c r="BP10" s="71"/>
      <c r="BQ10" s="71">
        <v>2</v>
      </c>
      <c r="BR10" s="138">
        <v>6.9444444444444447E-4</v>
      </c>
      <c r="BS10" s="69"/>
      <c r="BT10" s="71"/>
      <c r="BU10" s="71">
        <v>2</v>
      </c>
      <c r="BV10" s="71">
        <v>1</v>
      </c>
      <c r="BW10" s="71">
        <v>2</v>
      </c>
      <c r="BX10" s="138"/>
      <c r="BZ10" s="139">
        <f t="shared" si="0"/>
        <v>17</v>
      </c>
      <c r="CA10" s="140">
        <f t="shared" si="0"/>
        <v>6</v>
      </c>
      <c r="CB10" s="140">
        <f t="shared" si="0"/>
        <v>6</v>
      </c>
      <c r="CC10" s="140">
        <f t="shared" si="0"/>
        <v>4.5</v>
      </c>
      <c r="CD10" s="141">
        <f t="shared" si="0"/>
        <v>6</v>
      </c>
      <c r="CE10" s="142">
        <f t="shared" si="0"/>
        <v>9.7222222222222206E-3</v>
      </c>
    </row>
    <row r="11" spans="1:84">
      <c r="A11" s="71">
        <v>7</v>
      </c>
      <c r="B11" s="137" t="s">
        <v>30</v>
      </c>
      <c r="C11" s="74" t="s">
        <v>54</v>
      </c>
      <c r="D11" s="107" t="s">
        <v>55</v>
      </c>
      <c r="E11" s="69"/>
      <c r="F11" s="71">
        <v>1</v>
      </c>
      <c r="G11" s="71"/>
      <c r="H11" s="71"/>
      <c r="I11" s="71">
        <v>1</v>
      </c>
      <c r="J11" s="138">
        <v>2.0833333333333333E-3</v>
      </c>
      <c r="K11" s="69">
        <v>1.5</v>
      </c>
      <c r="L11" s="71"/>
      <c r="M11" s="71"/>
      <c r="N11" s="71"/>
      <c r="O11" s="71"/>
      <c r="P11" s="138"/>
      <c r="Q11" s="69"/>
      <c r="R11" s="71"/>
      <c r="S11" s="71"/>
      <c r="T11" s="71"/>
      <c r="U11" s="71"/>
      <c r="V11" s="138">
        <v>6.9444444444444447E-4</v>
      </c>
      <c r="W11" s="69"/>
      <c r="X11" s="71">
        <v>1</v>
      </c>
      <c r="Y11" s="71"/>
      <c r="Z11" s="71"/>
      <c r="AA11" s="71">
        <v>1</v>
      </c>
      <c r="AB11" s="138"/>
      <c r="AC11" s="69"/>
      <c r="AD11" s="71"/>
      <c r="AE11" s="71"/>
      <c r="AF11" s="71"/>
      <c r="AG11" s="71"/>
      <c r="AH11" s="138">
        <v>6.9444444444444447E-4</v>
      </c>
      <c r="AI11" s="69"/>
      <c r="AJ11" s="71">
        <v>1</v>
      </c>
      <c r="AK11" s="71"/>
      <c r="AL11" s="71"/>
      <c r="AM11" s="71"/>
      <c r="AN11" s="138"/>
      <c r="AO11" s="69"/>
      <c r="AP11" s="71">
        <v>1</v>
      </c>
      <c r="AQ11" s="71"/>
      <c r="AR11" s="71"/>
      <c r="AS11" s="71">
        <v>2</v>
      </c>
      <c r="AT11" s="138"/>
      <c r="AU11" s="69">
        <v>1.5</v>
      </c>
      <c r="AV11" s="71"/>
      <c r="AW11" s="71"/>
      <c r="AX11" s="71"/>
      <c r="AY11" s="71"/>
      <c r="AZ11" s="138">
        <v>1.3888888888888889E-3</v>
      </c>
      <c r="BA11" s="69"/>
      <c r="BB11" s="71"/>
      <c r="BC11" s="71"/>
      <c r="BD11" s="71"/>
      <c r="BE11" s="71">
        <v>1</v>
      </c>
      <c r="BF11" s="138">
        <v>1.3888888888888889E-3</v>
      </c>
      <c r="BG11" s="69"/>
      <c r="BH11" s="71"/>
      <c r="BI11" s="71"/>
      <c r="BJ11" s="71"/>
      <c r="BK11" s="71">
        <v>1</v>
      </c>
      <c r="BL11" s="138">
        <v>6.9444444444444447E-4</v>
      </c>
      <c r="BM11" s="69"/>
      <c r="BN11" s="71">
        <v>1.5</v>
      </c>
      <c r="BO11" s="71"/>
      <c r="BP11" s="71"/>
      <c r="BQ11" s="71"/>
      <c r="BR11" s="138">
        <v>1.3888888888888889E-3</v>
      </c>
      <c r="BS11" s="69"/>
      <c r="BT11" s="71">
        <v>0.5</v>
      </c>
      <c r="BU11" s="71">
        <v>2.5</v>
      </c>
      <c r="BV11" s="71"/>
      <c r="BW11" s="71"/>
      <c r="BX11" s="138">
        <v>4.1666666666666666E-3</v>
      </c>
      <c r="BZ11" s="139">
        <f t="shared" si="0"/>
        <v>3</v>
      </c>
      <c r="CA11" s="140">
        <f t="shared" si="0"/>
        <v>6</v>
      </c>
      <c r="CB11" s="140">
        <f t="shared" si="0"/>
        <v>2.5</v>
      </c>
      <c r="CC11" s="140">
        <v>0</v>
      </c>
      <c r="CD11" s="141">
        <f t="shared" si="0"/>
        <v>6</v>
      </c>
      <c r="CE11" s="142">
        <f t="shared" si="0"/>
        <v>1.2500000000000001E-2</v>
      </c>
    </row>
    <row r="12" spans="1:84">
      <c r="A12" s="71">
        <v>8</v>
      </c>
      <c r="B12" s="137" t="s">
        <v>36</v>
      </c>
      <c r="C12" s="74" t="s">
        <v>57</v>
      </c>
      <c r="D12" s="107" t="s">
        <v>58</v>
      </c>
      <c r="E12" s="69">
        <v>1</v>
      </c>
      <c r="F12" s="71"/>
      <c r="G12" s="71"/>
      <c r="H12" s="71"/>
      <c r="I12" s="71"/>
      <c r="J12" s="138"/>
      <c r="K12" s="69"/>
      <c r="L12" s="71"/>
      <c r="M12" s="71"/>
      <c r="N12" s="71"/>
      <c r="O12" s="71">
        <v>2</v>
      </c>
      <c r="P12" s="138"/>
      <c r="Q12" s="69">
        <v>1</v>
      </c>
      <c r="R12" s="71">
        <v>2</v>
      </c>
      <c r="S12" s="71"/>
      <c r="T12" s="71"/>
      <c r="U12" s="71">
        <v>1</v>
      </c>
      <c r="V12" s="138"/>
      <c r="W12" s="69">
        <v>3</v>
      </c>
      <c r="X12" s="71">
        <v>2</v>
      </c>
      <c r="Y12" s="71"/>
      <c r="Z12" s="71"/>
      <c r="AA12" s="71"/>
      <c r="AB12" s="138"/>
      <c r="AC12" s="69">
        <v>2</v>
      </c>
      <c r="AD12" s="71"/>
      <c r="AE12" s="71"/>
      <c r="AF12" s="71"/>
      <c r="AG12" s="71"/>
      <c r="AH12" s="138"/>
      <c r="AI12" s="69"/>
      <c r="AJ12" s="71"/>
      <c r="AK12" s="71"/>
      <c r="AL12" s="71"/>
      <c r="AM12" s="71"/>
      <c r="AN12" s="138"/>
      <c r="AO12" s="69"/>
      <c r="AP12" s="71"/>
      <c r="AQ12" s="71"/>
      <c r="AR12" s="71"/>
      <c r="AS12" s="71"/>
      <c r="AT12" s="138"/>
      <c r="AU12" s="69"/>
      <c r="AV12" s="71"/>
      <c r="AW12" s="71"/>
      <c r="AX12" s="71"/>
      <c r="AY12" s="71"/>
      <c r="AZ12" s="138"/>
      <c r="BA12" s="69"/>
      <c r="BB12" s="71"/>
      <c r="BC12" s="71"/>
      <c r="BD12" s="71"/>
      <c r="BE12" s="71"/>
      <c r="BF12" s="138"/>
      <c r="BG12" s="69"/>
      <c r="BH12" s="71"/>
      <c r="BI12" s="71"/>
      <c r="BJ12" s="71"/>
      <c r="BK12" s="71"/>
      <c r="BL12" s="138"/>
      <c r="BM12" s="69"/>
      <c r="BN12" s="71"/>
      <c r="BO12" s="71"/>
      <c r="BP12" s="71"/>
      <c r="BQ12" s="71"/>
      <c r="BR12" s="138"/>
      <c r="BS12" s="69"/>
      <c r="BT12" s="71">
        <v>2</v>
      </c>
      <c r="BU12" s="71"/>
      <c r="BV12" s="71"/>
      <c r="BW12" s="71">
        <v>3</v>
      </c>
      <c r="BX12" s="138"/>
      <c r="BZ12" s="139">
        <f t="shared" si="0"/>
        <v>7</v>
      </c>
      <c r="CA12" s="140">
        <f t="shared" si="0"/>
        <v>6</v>
      </c>
      <c r="CB12" s="140">
        <f t="shared" si="0"/>
        <v>0</v>
      </c>
      <c r="CC12" s="140">
        <f t="shared" si="0"/>
        <v>0</v>
      </c>
      <c r="CD12" s="141">
        <f t="shared" si="0"/>
        <v>6</v>
      </c>
      <c r="CE12" s="142">
        <f t="shared" si="0"/>
        <v>0</v>
      </c>
    </row>
    <row r="13" spans="1:84">
      <c r="A13" s="71">
        <v>9</v>
      </c>
      <c r="B13" s="137" t="s">
        <v>36</v>
      </c>
      <c r="C13" s="74" t="s">
        <v>60</v>
      </c>
      <c r="D13" s="107" t="s">
        <v>61</v>
      </c>
      <c r="E13" s="69"/>
      <c r="F13" s="71">
        <v>2</v>
      </c>
      <c r="G13" s="71"/>
      <c r="H13" s="71"/>
      <c r="I13" s="71"/>
      <c r="J13" s="138"/>
      <c r="K13" s="69"/>
      <c r="L13" s="71"/>
      <c r="M13" s="71"/>
      <c r="N13" s="71"/>
      <c r="O13" s="71"/>
      <c r="P13" s="138"/>
      <c r="Q13" s="69"/>
      <c r="R13" s="71">
        <v>1</v>
      </c>
      <c r="S13" s="71"/>
      <c r="T13" s="71"/>
      <c r="U13" s="71"/>
      <c r="V13" s="138"/>
      <c r="W13" s="69"/>
      <c r="X13" s="71">
        <v>3</v>
      </c>
      <c r="Y13" s="71">
        <v>10</v>
      </c>
      <c r="Z13" s="71"/>
      <c r="AA13" s="71"/>
      <c r="AB13" s="138"/>
      <c r="AC13" s="69"/>
      <c r="AD13" s="71"/>
      <c r="AE13" s="71">
        <v>1</v>
      </c>
      <c r="AF13" s="71"/>
      <c r="AG13" s="71"/>
      <c r="AH13" s="138"/>
      <c r="AI13" s="69"/>
      <c r="AJ13" s="71"/>
      <c r="AK13" s="71"/>
      <c r="AL13" s="71"/>
      <c r="AM13" s="71">
        <v>2</v>
      </c>
      <c r="AN13" s="138"/>
      <c r="AO13" s="69"/>
      <c r="AP13" s="71"/>
      <c r="AQ13" s="71"/>
      <c r="AR13" s="71"/>
      <c r="AS13" s="71"/>
      <c r="AT13" s="138"/>
      <c r="AU13" s="69"/>
      <c r="AV13" s="71"/>
      <c r="AW13" s="71"/>
      <c r="AX13" s="71"/>
      <c r="AY13" s="71"/>
      <c r="AZ13" s="138"/>
      <c r="BA13" s="69"/>
      <c r="BB13" s="71"/>
      <c r="BC13" s="71"/>
      <c r="BD13" s="71"/>
      <c r="BE13" s="71"/>
      <c r="BF13" s="138"/>
      <c r="BG13" s="69"/>
      <c r="BH13" s="71"/>
      <c r="BI13" s="71"/>
      <c r="BJ13" s="71"/>
      <c r="BK13" s="71"/>
      <c r="BL13" s="138"/>
      <c r="BM13" s="69"/>
      <c r="BN13" s="71"/>
      <c r="BO13" s="71"/>
      <c r="BP13" s="71"/>
      <c r="BQ13" s="71">
        <v>1</v>
      </c>
      <c r="BR13" s="138"/>
      <c r="BS13" s="69"/>
      <c r="BT13" s="71"/>
      <c r="BU13" s="71"/>
      <c r="BV13" s="71"/>
      <c r="BW13" s="71">
        <v>3</v>
      </c>
      <c r="BX13" s="138"/>
      <c r="BZ13" s="139">
        <f t="shared" si="0"/>
        <v>0</v>
      </c>
      <c r="CA13" s="140">
        <f t="shared" si="0"/>
        <v>6</v>
      </c>
      <c r="CB13" s="140">
        <f t="shared" si="0"/>
        <v>11</v>
      </c>
      <c r="CC13" s="140">
        <f t="shared" si="0"/>
        <v>0</v>
      </c>
      <c r="CD13" s="141">
        <f t="shared" si="0"/>
        <v>6</v>
      </c>
      <c r="CE13" s="142">
        <f t="shared" si="0"/>
        <v>0</v>
      </c>
    </row>
    <row r="14" spans="1:84">
      <c r="A14" s="71">
        <v>10</v>
      </c>
      <c r="B14" s="137" t="s">
        <v>36</v>
      </c>
      <c r="C14" s="74" t="s">
        <v>63</v>
      </c>
      <c r="D14" s="107" t="s">
        <v>64</v>
      </c>
      <c r="E14" s="69">
        <v>0.5</v>
      </c>
      <c r="F14" s="71"/>
      <c r="G14" s="71"/>
      <c r="H14" s="71"/>
      <c r="I14" s="71">
        <v>2</v>
      </c>
      <c r="J14" s="138"/>
      <c r="K14" s="69">
        <v>2</v>
      </c>
      <c r="L14" s="71"/>
      <c r="M14" s="71"/>
      <c r="N14" s="71"/>
      <c r="O14" s="71"/>
      <c r="P14" s="138"/>
      <c r="Q14" s="69"/>
      <c r="R14" s="71">
        <v>1</v>
      </c>
      <c r="S14" s="71"/>
      <c r="T14" s="71"/>
      <c r="U14" s="71"/>
      <c r="V14" s="138"/>
      <c r="W14" s="69">
        <v>1</v>
      </c>
      <c r="X14" s="71"/>
      <c r="Y14" s="71"/>
      <c r="Z14" s="71"/>
      <c r="AA14" s="71"/>
      <c r="AB14" s="138"/>
      <c r="AC14" s="69">
        <v>1</v>
      </c>
      <c r="AD14" s="71">
        <v>1.5</v>
      </c>
      <c r="AE14" s="71"/>
      <c r="AF14" s="71"/>
      <c r="AG14" s="71"/>
      <c r="AH14" s="138"/>
      <c r="AI14" s="69">
        <v>5</v>
      </c>
      <c r="AJ14" s="71">
        <v>0.5</v>
      </c>
      <c r="AK14" s="71"/>
      <c r="AL14" s="71"/>
      <c r="AM14" s="71"/>
      <c r="AN14" s="138"/>
      <c r="AO14" s="69">
        <v>1</v>
      </c>
      <c r="AP14" s="71"/>
      <c r="AQ14" s="71"/>
      <c r="AR14" s="71"/>
      <c r="AS14" s="71"/>
      <c r="AT14" s="138"/>
      <c r="AU14" s="69"/>
      <c r="AV14" s="71">
        <v>1</v>
      </c>
      <c r="AW14" s="71"/>
      <c r="AX14" s="71"/>
      <c r="AY14" s="71">
        <v>1</v>
      </c>
      <c r="AZ14" s="138"/>
      <c r="BA14" s="69"/>
      <c r="BB14" s="71"/>
      <c r="BC14" s="71"/>
      <c r="BD14" s="71"/>
      <c r="BE14" s="71"/>
      <c r="BF14" s="138"/>
      <c r="BG14" s="69"/>
      <c r="BH14" s="71"/>
      <c r="BI14" s="71"/>
      <c r="BJ14" s="71"/>
      <c r="BK14" s="71"/>
      <c r="BL14" s="138"/>
      <c r="BM14" s="69">
        <v>2.5</v>
      </c>
      <c r="BN14" s="71"/>
      <c r="BO14" s="71"/>
      <c r="BP14" s="71"/>
      <c r="BQ14" s="71">
        <v>1</v>
      </c>
      <c r="BR14" s="138"/>
      <c r="BS14" s="69">
        <v>2</v>
      </c>
      <c r="BT14" s="71">
        <v>2</v>
      </c>
      <c r="BU14" s="71"/>
      <c r="BV14" s="71"/>
      <c r="BW14" s="71">
        <v>2</v>
      </c>
      <c r="BX14" s="138"/>
      <c r="BZ14" s="139">
        <f t="shared" si="0"/>
        <v>15</v>
      </c>
      <c r="CA14" s="140">
        <f t="shared" si="0"/>
        <v>6</v>
      </c>
      <c r="CB14" s="140">
        <f t="shared" si="0"/>
        <v>0</v>
      </c>
      <c r="CC14" s="140">
        <f t="shared" si="0"/>
        <v>0</v>
      </c>
      <c r="CD14" s="141">
        <f t="shared" si="0"/>
        <v>6</v>
      </c>
      <c r="CE14" s="142">
        <f t="shared" si="0"/>
        <v>0</v>
      </c>
    </row>
    <row r="15" spans="1:84">
      <c r="A15" s="71">
        <v>11</v>
      </c>
      <c r="B15" s="137" t="s">
        <v>36</v>
      </c>
      <c r="C15" s="74" t="s">
        <v>65</v>
      </c>
      <c r="D15" s="107" t="s">
        <v>66</v>
      </c>
      <c r="E15" s="69"/>
      <c r="F15" s="71">
        <v>1</v>
      </c>
      <c r="G15" s="71"/>
      <c r="H15" s="71"/>
      <c r="I15" s="71"/>
      <c r="J15" s="138">
        <v>6.9444444444444447E-4</v>
      </c>
      <c r="K15" s="69"/>
      <c r="L15" s="71">
        <v>1</v>
      </c>
      <c r="M15" s="71"/>
      <c r="N15" s="71"/>
      <c r="O15" s="71"/>
      <c r="P15" s="138">
        <v>6.9444444444444447E-4</v>
      </c>
      <c r="Q15" s="69"/>
      <c r="R15" s="71"/>
      <c r="S15" s="71"/>
      <c r="T15" s="71"/>
      <c r="U15" s="71"/>
      <c r="V15" s="138">
        <v>1.3888888888888889E-3</v>
      </c>
      <c r="W15" s="69"/>
      <c r="X15" s="71">
        <v>0.5</v>
      </c>
      <c r="Y15" s="71"/>
      <c r="Z15" s="71">
        <v>0.5</v>
      </c>
      <c r="AA15" s="71">
        <v>1</v>
      </c>
      <c r="AB15" s="138">
        <v>2.7777777777777779E-3</v>
      </c>
      <c r="AC15" s="69"/>
      <c r="AD15" s="71">
        <v>0.5</v>
      </c>
      <c r="AE15" s="71"/>
      <c r="AF15" s="71">
        <v>1</v>
      </c>
      <c r="AG15" s="71"/>
      <c r="AH15" s="138">
        <v>3.472222222222222E-3</v>
      </c>
      <c r="AI15" s="69"/>
      <c r="AJ15" s="71">
        <v>3</v>
      </c>
      <c r="AK15" s="71">
        <v>3</v>
      </c>
      <c r="AL15" s="71">
        <v>1</v>
      </c>
      <c r="AM15" s="71"/>
      <c r="AN15" s="138"/>
      <c r="AO15" s="69"/>
      <c r="AP15" s="71"/>
      <c r="AQ15" s="71"/>
      <c r="AR15" s="71">
        <v>1</v>
      </c>
      <c r="AS15" s="71">
        <v>1</v>
      </c>
      <c r="AT15" s="138"/>
      <c r="AU15" s="69"/>
      <c r="AV15" s="71"/>
      <c r="AW15" s="71"/>
      <c r="AX15" s="71"/>
      <c r="AY15" s="71">
        <v>1</v>
      </c>
      <c r="AZ15" s="138"/>
      <c r="BA15" s="69"/>
      <c r="BB15" s="71"/>
      <c r="BC15" s="71"/>
      <c r="BD15" s="71">
        <v>1.5</v>
      </c>
      <c r="BE15" s="71"/>
      <c r="BF15" s="138"/>
      <c r="BG15" s="69"/>
      <c r="BH15" s="71"/>
      <c r="BI15" s="71">
        <v>1</v>
      </c>
      <c r="BJ15" s="71"/>
      <c r="BK15" s="71"/>
      <c r="BL15" s="138">
        <v>2.0833333333333333E-3</v>
      </c>
      <c r="BM15" s="69">
        <v>3</v>
      </c>
      <c r="BN15" s="71"/>
      <c r="BO15" s="71">
        <v>0.5</v>
      </c>
      <c r="BP15" s="71"/>
      <c r="BQ15" s="71"/>
      <c r="BR15" s="138">
        <v>6.9444444444444447E-4</v>
      </c>
      <c r="BS15" s="69">
        <v>1</v>
      </c>
      <c r="BT15" s="71"/>
      <c r="BU15" s="71"/>
      <c r="BV15" s="71"/>
      <c r="BW15" s="71">
        <v>3</v>
      </c>
      <c r="BX15" s="138"/>
      <c r="BZ15" s="139">
        <f t="shared" si="0"/>
        <v>4</v>
      </c>
      <c r="CA15" s="140">
        <f t="shared" si="0"/>
        <v>6</v>
      </c>
      <c r="CB15" s="140">
        <f t="shared" si="0"/>
        <v>4.5</v>
      </c>
      <c r="CC15" s="140">
        <f t="shared" si="0"/>
        <v>5</v>
      </c>
      <c r="CD15" s="141">
        <f t="shared" si="0"/>
        <v>6</v>
      </c>
      <c r="CE15" s="142">
        <f t="shared" si="0"/>
        <v>1.1805555555555554E-2</v>
      </c>
    </row>
    <row r="16" spans="1:84">
      <c r="A16" s="71">
        <v>12</v>
      </c>
      <c r="B16" s="137" t="s">
        <v>36</v>
      </c>
      <c r="C16" s="74" t="s">
        <v>68</v>
      </c>
      <c r="D16" s="107" t="s">
        <v>69</v>
      </c>
      <c r="E16" s="69"/>
      <c r="F16" s="71">
        <v>1</v>
      </c>
      <c r="G16" s="71"/>
      <c r="H16" s="71"/>
      <c r="I16" s="71"/>
      <c r="J16" s="138"/>
      <c r="K16" s="69"/>
      <c r="L16" s="71"/>
      <c r="M16" s="71"/>
      <c r="N16" s="71"/>
      <c r="O16" s="71">
        <v>2</v>
      </c>
      <c r="P16" s="138"/>
      <c r="Q16" s="69"/>
      <c r="R16" s="71"/>
      <c r="S16" s="71"/>
      <c r="T16" s="71"/>
      <c r="U16" s="71">
        <v>1</v>
      </c>
      <c r="V16" s="138"/>
      <c r="W16" s="69"/>
      <c r="X16" s="71">
        <v>1</v>
      </c>
      <c r="Y16" s="71"/>
      <c r="Z16" s="71"/>
      <c r="AA16" s="71"/>
      <c r="AB16" s="138"/>
      <c r="AC16" s="69">
        <v>0.5</v>
      </c>
      <c r="AD16" s="71"/>
      <c r="AE16" s="71"/>
      <c r="AF16" s="71"/>
      <c r="AG16" s="71"/>
      <c r="AH16" s="138"/>
      <c r="AI16" s="69">
        <v>5</v>
      </c>
      <c r="AJ16" s="71"/>
      <c r="AK16" s="71"/>
      <c r="AL16" s="71"/>
      <c r="AM16" s="71"/>
      <c r="AN16" s="138"/>
      <c r="AO16" s="69">
        <v>2</v>
      </c>
      <c r="AP16" s="71"/>
      <c r="AQ16" s="71"/>
      <c r="AR16" s="71"/>
      <c r="AS16" s="71"/>
      <c r="AT16" s="138"/>
      <c r="AU16" s="69">
        <v>2</v>
      </c>
      <c r="AV16" s="71"/>
      <c r="AW16" s="71"/>
      <c r="AX16" s="71"/>
      <c r="AY16" s="71"/>
      <c r="AZ16" s="138"/>
      <c r="BA16" s="69"/>
      <c r="BB16" s="71"/>
      <c r="BC16" s="71"/>
      <c r="BD16" s="71"/>
      <c r="BE16" s="71"/>
      <c r="BF16" s="138"/>
      <c r="BG16" s="69"/>
      <c r="BH16" s="71"/>
      <c r="BI16" s="71"/>
      <c r="BJ16" s="71"/>
      <c r="BK16" s="71"/>
      <c r="BL16" s="138"/>
      <c r="BM16" s="69">
        <v>5.5</v>
      </c>
      <c r="BN16" s="71">
        <v>1</v>
      </c>
      <c r="BO16" s="71"/>
      <c r="BP16" s="71"/>
      <c r="BQ16" s="71"/>
      <c r="BR16" s="138"/>
      <c r="BS16" s="69"/>
      <c r="BT16" s="71"/>
      <c r="BU16" s="71"/>
      <c r="BV16" s="71"/>
      <c r="BW16" s="71">
        <v>3</v>
      </c>
      <c r="BX16" s="138"/>
      <c r="BZ16" s="139">
        <f t="shared" si="0"/>
        <v>15</v>
      </c>
      <c r="CA16" s="140">
        <f t="shared" si="0"/>
        <v>3</v>
      </c>
      <c r="CB16" s="140">
        <f t="shared" si="0"/>
        <v>0</v>
      </c>
      <c r="CC16" s="140">
        <f t="shared" si="0"/>
        <v>0</v>
      </c>
      <c r="CD16" s="141">
        <f t="shared" si="0"/>
        <v>6</v>
      </c>
      <c r="CE16" s="142">
        <f t="shared" si="0"/>
        <v>0</v>
      </c>
    </row>
    <row r="17" spans="1:84">
      <c r="A17" s="71">
        <v>13</v>
      </c>
      <c r="B17" s="137" t="s">
        <v>36</v>
      </c>
      <c r="C17" s="74" t="s">
        <v>70</v>
      </c>
      <c r="D17" s="107" t="s">
        <v>71</v>
      </c>
      <c r="E17" s="69"/>
      <c r="F17" s="71">
        <v>2.5</v>
      </c>
      <c r="G17" s="71"/>
      <c r="H17" s="71"/>
      <c r="I17" s="71">
        <v>1</v>
      </c>
      <c r="J17" s="138"/>
      <c r="K17" s="69"/>
      <c r="L17" s="71">
        <v>1</v>
      </c>
      <c r="M17" s="71"/>
      <c r="N17" s="71"/>
      <c r="O17" s="71"/>
      <c r="P17" s="138"/>
      <c r="Q17" s="69"/>
      <c r="R17" s="71"/>
      <c r="S17" s="71"/>
      <c r="T17" s="71"/>
      <c r="U17" s="71"/>
      <c r="V17" s="138"/>
      <c r="W17" s="69"/>
      <c r="X17" s="71"/>
      <c r="Y17" s="71"/>
      <c r="Z17" s="71"/>
      <c r="AA17" s="71">
        <v>1</v>
      </c>
      <c r="AB17" s="138"/>
      <c r="AC17" s="69"/>
      <c r="AD17" s="71"/>
      <c r="AE17" s="71"/>
      <c r="AF17" s="71"/>
      <c r="AG17" s="71"/>
      <c r="AH17" s="138"/>
      <c r="AI17" s="69">
        <v>0.5</v>
      </c>
      <c r="AJ17" s="71">
        <v>1.5</v>
      </c>
      <c r="AK17" s="71"/>
      <c r="AL17" s="71"/>
      <c r="AM17" s="71">
        <v>1</v>
      </c>
      <c r="AN17" s="138"/>
      <c r="AO17" s="69">
        <v>3</v>
      </c>
      <c r="AP17" s="71">
        <v>1</v>
      </c>
      <c r="AQ17" s="71"/>
      <c r="AR17" s="71"/>
      <c r="AS17" s="71">
        <v>1</v>
      </c>
      <c r="AT17" s="138"/>
      <c r="AU17" s="69">
        <v>1</v>
      </c>
      <c r="AV17" s="71"/>
      <c r="AW17" s="71"/>
      <c r="AX17" s="71"/>
      <c r="AY17" s="71"/>
      <c r="AZ17" s="138"/>
      <c r="BA17" s="69">
        <v>1</v>
      </c>
      <c r="BB17" s="71"/>
      <c r="BC17" s="71"/>
      <c r="BD17" s="71">
        <v>1</v>
      </c>
      <c r="BE17" s="71"/>
      <c r="BF17" s="138"/>
      <c r="BG17" s="69">
        <v>0.5</v>
      </c>
      <c r="BH17" s="71"/>
      <c r="BI17" s="71"/>
      <c r="BJ17" s="71"/>
      <c r="BK17" s="71">
        <v>1</v>
      </c>
      <c r="BL17" s="138"/>
      <c r="BM17" s="69">
        <v>1</v>
      </c>
      <c r="BN17" s="71"/>
      <c r="BO17" s="71"/>
      <c r="BP17" s="71"/>
      <c r="BQ17" s="71"/>
      <c r="BR17" s="138"/>
      <c r="BS17" s="69"/>
      <c r="BT17" s="71"/>
      <c r="BU17" s="71"/>
      <c r="BV17" s="71"/>
      <c r="BW17" s="71">
        <v>1</v>
      </c>
      <c r="BX17" s="138"/>
      <c r="BZ17" s="139">
        <f t="shared" si="0"/>
        <v>7</v>
      </c>
      <c r="CA17" s="140">
        <f t="shared" si="0"/>
        <v>6</v>
      </c>
      <c r="CB17" s="140">
        <f t="shared" si="0"/>
        <v>0</v>
      </c>
      <c r="CC17" s="140">
        <f t="shared" si="0"/>
        <v>1</v>
      </c>
      <c r="CD17" s="141">
        <f t="shared" si="0"/>
        <v>6</v>
      </c>
      <c r="CE17" s="142">
        <f t="shared" si="0"/>
        <v>0</v>
      </c>
    </row>
    <row r="18" spans="1:84" ht="23.25" customHeight="1">
      <c r="A18" s="71">
        <v>14</v>
      </c>
      <c r="B18" s="137" t="s">
        <v>36</v>
      </c>
      <c r="C18" s="64" t="s">
        <v>72</v>
      </c>
      <c r="D18" s="14" t="s">
        <v>73</v>
      </c>
      <c r="E18" s="69">
        <v>2</v>
      </c>
      <c r="F18" s="71">
        <v>3</v>
      </c>
      <c r="G18" s="71"/>
      <c r="H18" s="71"/>
      <c r="I18" s="71">
        <v>1</v>
      </c>
      <c r="J18" s="138"/>
      <c r="K18" s="69">
        <v>7</v>
      </c>
      <c r="L18" s="71">
        <v>1</v>
      </c>
      <c r="M18" s="71"/>
      <c r="N18" s="71"/>
      <c r="O18" s="71"/>
      <c r="P18" s="138"/>
      <c r="Q18" s="69">
        <v>2</v>
      </c>
      <c r="R18" s="71">
        <v>2</v>
      </c>
      <c r="S18" s="71"/>
      <c r="T18" s="71">
        <v>1</v>
      </c>
      <c r="U18" s="71"/>
      <c r="V18" s="138"/>
      <c r="W18" s="69">
        <v>3</v>
      </c>
      <c r="X18" s="71"/>
      <c r="Y18" s="71"/>
      <c r="Z18" s="71">
        <v>2</v>
      </c>
      <c r="AA18" s="71"/>
      <c r="AB18" s="138"/>
      <c r="AC18" s="69"/>
      <c r="AD18" s="71"/>
      <c r="AE18" s="71"/>
      <c r="AF18" s="71">
        <v>1</v>
      </c>
      <c r="AG18" s="71"/>
      <c r="AH18" s="138"/>
      <c r="AI18" s="69">
        <v>3</v>
      </c>
      <c r="AJ18" s="71"/>
      <c r="AK18" s="71"/>
      <c r="AL18" s="71">
        <v>1</v>
      </c>
      <c r="AM18" s="71"/>
      <c r="AN18" s="138"/>
      <c r="AO18" s="69">
        <v>3</v>
      </c>
      <c r="AP18" s="71"/>
      <c r="AQ18" s="71"/>
      <c r="AR18" s="71"/>
      <c r="AS18" s="71"/>
      <c r="AT18" s="138"/>
      <c r="AU18" s="69">
        <v>5</v>
      </c>
      <c r="AV18" s="71"/>
      <c r="AW18" s="71"/>
      <c r="AX18" s="71"/>
      <c r="AY18" s="71"/>
      <c r="AZ18" s="138"/>
      <c r="BA18" s="69"/>
      <c r="BB18" s="71"/>
      <c r="BC18" s="71"/>
      <c r="BD18" s="71"/>
      <c r="BE18" s="71"/>
      <c r="BF18" s="138"/>
      <c r="BG18" s="69">
        <v>2</v>
      </c>
      <c r="BH18" s="71"/>
      <c r="BI18" s="71"/>
      <c r="BJ18" s="71"/>
      <c r="BK18" s="71"/>
      <c r="BL18" s="138"/>
      <c r="BM18" s="69"/>
      <c r="BN18" s="71"/>
      <c r="BO18" s="71"/>
      <c r="BP18" s="71"/>
      <c r="BQ18" s="71"/>
      <c r="BR18" s="138"/>
      <c r="BS18" s="69">
        <v>2</v>
      </c>
      <c r="BT18" s="71"/>
      <c r="BU18" s="71"/>
      <c r="BV18" s="71">
        <v>1</v>
      </c>
      <c r="BW18" s="71">
        <v>4</v>
      </c>
      <c r="BX18" s="138"/>
      <c r="BZ18" s="139">
        <f t="shared" si="0"/>
        <v>29</v>
      </c>
      <c r="CA18" s="140">
        <f t="shared" si="0"/>
        <v>6</v>
      </c>
      <c r="CB18" s="140">
        <f t="shared" si="0"/>
        <v>0</v>
      </c>
      <c r="CC18" s="140">
        <f t="shared" si="0"/>
        <v>6</v>
      </c>
      <c r="CD18" s="141">
        <f t="shared" si="0"/>
        <v>5</v>
      </c>
      <c r="CE18" s="142">
        <f t="shared" si="0"/>
        <v>0</v>
      </c>
      <c r="CF18" s="215"/>
    </row>
    <row r="19" spans="1:84">
      <c r="A19" s="71">
        <v>15</v>
      </c>
      <c r="B19" s="137" t="s">
        <v>36</v>
      </c>
      <c r="C19" s="74" t="s">
        <v>74</v>
      </c>
      <c r="D19" s="107" t="s">
        <v>75</v>
      </c>
      <c r="E19" s="69"/>
      <c r="F19" s="71"/>
      <c r="G19" s="71"/>
      <c r="H19" s="71"/>
      <c r="I19" s="71">
        <v>1</v>
      </c>
      <c r="J19" s="138"/>
      <c r="K19" s="69"/>
      <c r="L19" s="71"/>
      <c r="M19" s="71"/>
      <c r="N19" s="71"/>
      <c r="O19" s="71"/>
      <c r="P19" s="138"/>
      <c r="Q19" s="69"/>
      <c r="R19" s="71"/>
      <c r="S19" s="71"/>
      <c r="T19" s="71"/>
      <c r="U19" s="71"/>
      <c r="V19" s="138"/>
      <c r="W19" s="69"/>
      <c r="X19" s="71"/>
      <c r="Y19" s="71"/>
      <c r="Z19" s="71"/>
      <c r="AA19" s="71"/>
      <c r="AB19" s="138"/>
      <c r="AC19" s="69"/>
      <c r="AD19" s="71"/>
      <c r="AE19" s="71"/>
      <c r="AF19" s="71"/>
      <c r="AG19" s="71"/>
      <c r="AH19" s="138"/>
      <c r="AI19" s="69"/>
      <c r="AJ19" s="71">
        <v>1</v>
      </c>
      <c r="AK19" s="71"/>
      <c r="AL19" s="71"/>
      <c r="AM19" s="71"/>
      <c r="AN19" s="138"/>
      <c r="AO19" s="69"/>
      <c r="AP19" s="71"/>
      <c r="AQ19" s="71"/>
      <c r="AR19" s="71"/>
      <c r="AS19" s="71"/>
      <c r="AT19" s="138"/>
      <c r="AU19" s="69"/>
      <c r="AV19" s="71">
        <v>0.5</v>
      </c>
      <c r="AW19" s="71"/>
      <c r="AX19" s="71"/>
      <c r="AY19" s="71">
        <v>1</v>
      </c>
      <c r="AZ19" s="138"/>
      <c r="BA19" s="69"/>
      <c r="BB19" s="71">
        <v>1</v>
      </c>
      <c r="BC19" s="71"/>
      <c r="BD19" s="71"/>
      <c r="BE19" s="71"/>
      <c r="BF19" s="138">
        <v>3.472222222222222E-3</v>
      </c>
      <c r="BG19" s="69"/>
      <c r="BH19" s="71"/>
      <c r="BI19" s="71"/>
      <c r="BJ19" s="71"/>
      <c r="BK19" s="71">
        <v>1</v>
      </c>
      <c r="BL19" s="138"/>
      <c r="BM19" s="69"/>
      <c r="BN19" s="71"/>
      <c r="BO19" s="71"/>
      <c r="BP19" s="71"/>
      <c r="BQ19" s="71">
        <v>1</v>
      </c>
      <c r="BR19" s="138"/>
      <c r="BS19" s="69"/>
      <c r="BT19" s="71"/>
      <c r="BU19" s="71"/>
      <c r="BV19" s="71"/>
      <c r="BW19" s="71">
        <v>2</v>
      </c>
      <c r="BX19" s="138"/>
      <c r="BZ19" s="139">
        <f t="shared" si="0"/>
        <v>0</v>
      </c>
      <c r="CA19" s="140">
        <f t="shared" si="0"/>
        <v>2.5</v>
      </c>
      <c r="CB19" s="140">
        <f t="shared" si="0"/>
        <v>0</v>
      </c>
      <c r="CC19" s="140">
        <f t="shared" si="0"/>
        <v>0</v>
      </c>
      <c r="CD19" s="141">
        <f t="shared" si="0"/>
        <v>6</v>
      </c>
      <c r="CE19" s="142">
        <f t="shared" si="0"/>
        <v>3.472222222222222E-3</v>
      </c>
    </row>
    <row r="20" spans="1:84">
      <c r="A20" s="71">
        <v>16</v>
      </c>
      <c r="B20" s="137" t="s">
        <v>36</v>
      </c>
      <c r="C20" s="74" t="s">
        <v>76</v>
      </c>
      <c r="D20" s="107" t="s">
        <v>77</v>
      </c>
      <c r="E20" s="69"/>
      <c r="F20" s="71">
        <v>1</v>
      </c>
      <c r="G20" s="71"/>
      <c r="H20" s="71"/>
      <c r="I20" s="71"/>
      <c r="J20" s="138"/>
      <c r="K20" s="69"/>
      <c r="L20" s="71">
        <v>1</v>
      </c>
      <c r="M20" s="71"/>
      <c r="N20" s="71"/>
      <c r="O20" s="71"/>
      <c r="P20" s="138"/>
      <c r="Q20" s="69"/>
      <c r="R20" s="71">
        <v>0.5</v>
      </c>
      <c r="S20" s="71"/>
      <c r="T20" s="71"/>
      <c r="U20" s="71"/>
      <c r="V20" s="138"/>
      <c r="W20" s="69"/>
      <c r="X20" s="71"/>
      <c r="Y20" s="71"/>
      <c r="Z20" s="71"/>
      <c r="AA20" s="71">
        <v>2</v>
      </c>
      <c r="AB20" s="138"/>
      <c r="AC20" s="69"/>
      <c r="AD20" s="71"/>
      <c r="AE20" s="71"/>
      <c r="AF20" s="71"/>
      <c r="AG20" s="71">
        <v>2</v>
      </c>
      <c r="AH20" s="138"/>
      <c r="AI20" s="69"/>
      <c r="AJ20" s="71"/>
      <c r="AK20" s="71"/>
      <c r="AL20" s="71"/>
      <c r="AM20" s="71"/>
      <c r="AN20" s="138"/>
      <c r="AO20" s="69"/>
      <c r="AP20" s="71">
        <v>0.5</v>
      </c>
      <c r="AQ20" s="71"/>
      <c r="AR20" s="71"/>
      <c r="AS20" s="71"/>
      <c r="AT20" s="138"/>
      <c r="AU20" s="69"/>
      <c r="AV20" s="71"/>
      <c r="AW20" s="71"/>
      <c r="AX20" s="71"/>
      <c r="AY20" s="71"/>
      <c r="AZ20" s="138"/>
      <c r="BA20" s="69"/>
      <c r="BB20" s="71"/>
      <c r="BC20" s="71"/>
      <c r="BD20" s="71"/>
      <c r="BE20" s="71"/>
      <c r="BF20" s="138"/>
      <c r="BG20" s="69"/>
      <c r="BH20" s="71"/>
      <c r="BI20" s="71"/>
      <c r="BJ20" s="71"/>
      <c r="BK20" s="71"/>
      <c r="BL20" s="138"/>
      <c r="BM20" s="69">
        <v>1</v>
      </c>
      <c r="BN20" s="71">
        <v>1</v>
      </c>
      <c r="BO20" s="71"/>
      <c r="BP20" s="71"/>
      <c r="BQ20" s="71"/>
      <c r="BR20" s="138"/>
      <c r="BS20" s="69">
        <v>3.5</v>
      </c>
      <c r="BT20" s="71"/>
      <c r="BU20" s="71"/>
      <c r="BV20" s="71"/>
      <c r="BW20" s="71">
        <v>2</v>
      </c>
      <c r="BX20" s="138"/>
      <c r="BZ20" s="139">
        <f t="shared" si="0"/>
        <v>4.5</v>
      </c>
      <c r="CA20" s="140">
        <f t="shared" si="0"/>
        <v>4</v>
      </c>
      <c r="CB20" s="140">
        <f t="shared" si="0"/>
        <v>0</v>
      </c>
      <c r="CC20" s="140">
        <f t="shared" si="0"/>
        <v>0</v>
      </c>
      <c r="CD20" s="141">
        <f t="shared" si="0"/>
        <v>6</v>
      </c>
      <c r="CE20" s="142">
        <f t="shared" si="0"/>
        <v>0</v>
      </c>
    </row>
    <row r="21" spans="1:84">
      <c r="A21" s="71">
        <v>17</v>
      </c>
      <c r="B21" s="137" t="s">
        <v>36</v>
      </c>
      <c r="C21" s="74" t="s">
        <v>78</v>
      </c>
      <c r="D21" s="107" t="s">
        <v>71</v>
      </c>
      <c r="E21" s="69">
        <v>3</v>
      </c>
      <c r="F21" s="71"/>
      <c r="G21" s="71"/>
      <c r="H21" s="71"/>
      <c r="I21" s="71">
        <v>1</v>
      </c>
      <c r="J21" s="138"/>
      <c r="K21" s="69">
        <v>1.5</v>
      </c>
      <c r="L21" s="71">
        <v>1</v>
      </c>
      <c r="M21" s="71"/>
      <c r="N21" s="71"/>
      <c r="O21" s="71"/>
      <c r="P21" s="138"/>
      <c r="Q21" s="69"/>
      <c r="R21" s="71"/>
      <c r="S21" s="71"/>
      <c r="T21" s="71"/>
      <c r="U21" s="71"/>
      <c r="V21" s="138"/>
      <c r="W21" s="69">
        <v>2</v>
      </c>
      <c r="X21" s="71"/>
      <c r="Y21" s="71"/>
      <c r="Z21" s="71"/>
      <c r="AA21" s="71"/>
      <c r="AB21" s="138"/>
      <c r="AC21" s="69">
        <v>1</v>
      </c>
      <c r="AD21" s="71"/>
      <c r="AE21" s="71"/>
      <c r="AF21" s="71"/>
      <c r="AG21" s="71">
        <v>1</v>
      </c>
      <c r="AH21" s="138"/>
      <c r="AI21" s="69">
        <v>6</v>
      </c>
      <c r="AJ21" s="71">
        <v>1</v>
      </c>
      <c r="AK21" s="71"/>
      <c r="AL21" s="71"/>
      <c r="AM21" s="71"/>
      <c r="AN21" s="138"/>
      <c r="AO21" s="69">
        <v>2</v>
      </c>
      <c r="AP21" s="71"/>
      <c r="AQ21" s="71"/>
      <c r="AR21" s="71"/>
      <c r="AS21" s="71">
        <v>1</v>
      </c>
      <c r="AT21" s="138"/>
      <c r="AU21" s="69">
        <v>1</v>
      </c>
      <c r="AV21" s="71"/>
      <c r="AW21" s="71"/>
      <c r="AX21" s="71"/>
      <c r="AY21" s="71"/>
      <c r="AZ21" s="138"/>
      <c r="BA21" s="69">
        <v>2</v>
      </c>
      <c r="BB21" s="71"/>
      <c r="BC21" s="71"/>
      <c r="BD21" s="71"/>
      <c r="BE21" s="71">
        <v>1</v>
      </c>
      <c r="BF21" s="138"/>
      <c r="BG21" s="69">
        <v>1</v>
      </c>
      <c r="BH21" s="71"/>
      <c r="BI21" s="71"/>
      <c r="BJ21" s="71"/>
      <c r="BK21" s="71"/>
      <c r="BL21" s="138"/>
      <c r="BM21" s="69">
        <v>2</v>
      </c>
      <c r="BN21" s="71"/>
      <c r="BO21" s="71"/>
      <c r="BP21" s="71"/>
      <c r="BQ21" s="71"/>
      <c r="BR21" s="138"/>
      <c r="BS21" s="69">
        <v>1</v>
      </c>
      <c r="BT21" s="71"/>
      <c r="BU21" s="71"/>
      <c r="BV21" s="71"/>
      <c r="BW21" s="71">
        <v>2</v>
      </c>
      <c r="BX21" s="138"/>
      <c r="BZ21" s="139">
        <f t="shared" ref="BZ21:CE49" si="1">+E21+K21+Q21+W21+AC21+AI21+AO21+AU21+BA21+BG21+BM21+BS21</f>
        <v>22.5</v>
      </c>
      <c r="CA21" s="140">
        <f t="shared" si="1"/>
        <v>2</v>
      </c>
      <c r="CB21" s="140">
        <f t="shared" si="1"/>
        <v>0</v>
      </c>
      <c r="CC21" s="140">
        <f t="shared" si="1"/>
        <v>0</v>
      </c>
      <c r="CD21" s="141">
        <f t="shared" si="1"/>
        <v>6</v>
      </c>
      <c r="CE21" s="142">
        <f t="shared" si="1"/>
        <v>0</v>
      </c>
    </row>
    <row r="22" spans="1:84">
      <c r="A22" s="71">
        <v>18</v>
      </c>
      <c r="B22" s="137" t="s">
        <v>30</v>
      </c>
      <c r="C22" s="74" t="s">
        <v>79</v>
      </c>
      <c r="D22" s="107" t="s">
        <v>80</v>
      </c>
      <c r="E22" s="69"/>
      <c r="F22" s="71">
        <v>1</v>
      </c>
      <c r="G22" s="71"/>
      <c r="H22" s="71"/>
      <c r="I22" s="71"/>
      <c r="J22" s="138"/>
      <c r="K22" s="69"/>
      <c r="L22" s="71"/>
      <c r="M22" s="71"/>
      <c r="N22" s="71"/>
      <c r="O22" s="71"/>
      <c r="P22" s="138"/>
      <c r="Q22" s="69"/>
      <c r="R22" s="71"/>
      <c r="S22" s="71"/>
      <c r="T22" s="71"/>
      <c r="U22" s="71"/>
      <c r="V22" s="138"/>
      <c r="W22" s="69"/>
      <c r="X22" s="71"/>
      <c r="Y22" s="71"/>
      <c r="Z22" s="71"/>
      <c r="AA22" s="71"/>
      <c r="AB22" s="138"/>
      <c r="AC22" s="69"/>
      <c r="AD22" s="71">
        <v>2</v>
      </c>
      <c r="AE22" s="71"/>
      <c r="AF22" s="71"/>
      <c r="AG22" s="71"/>
      <c r="AH22" s="138"/>
      <c r="AI22" s="69"/>
      <c r="AJ22" s="71">
        <v>1</v>
      </c>
      <c r="AK22" s="71"/>
      <c r="AL22" s="71"/>
      <c r="AM22" s="71">
        <v>3</v>
      </c>
      <c r="AN22" s="138"/>
      <c r="AO22" s="69"/>
      <c r="AP22" s="71">
        <v>1</v>
      </c>
      <c r="AQ22" s="71"/>
      <c r="AR22" s="71"/>
      <c r="AS22" s="71"/>
      <c r="AT22" s="138">
        <v>1.3888888888888889E-3</v>
      </c>
      <c r="AU22" s="69"/>
      <c r="AV22" s="71"/>
      <c r="AW22" s="71"/>
      <c r="AX22" s="71"/>
      <c r="AY22" s="71"/>
      <c r="AZ22" s="138"/>
      <c r="BA22" s="69"/>
      <c r="BB22" s="71"/>
      <c r="BC22" s="71"/>
      <c r="BD22" s="71"/>
      <c r="BE22" s="71"/>
      <c r="BF22" s="138"/>
      <c r="BG22" s="69"/>
      <c r="BH22" s="71">
        <v>0.5</v>
      </c>
      <c r="BI22" s="71"/>
      <c r="BJ22" s="71"/>
      <c r="BK22" s="71"/>
      <c r="BL22" s="138"/>
      <c r="BM22" s="69"/>
      <c r="BN22" s="71"/>
      <c r="BO22" s="71"/>
      <c r="BP22" s="71"/>
      <c r="BQ22" s="71">
        <v>1</v>
      </c>
      <c r="BR22" s="138"/>
      <c r="BS22" s="69"/>
      <c r="BT22" s="71"/>
      <c r="BU22" s="71"/>
      <c r="BV22" s="71"/>
      <c r="BW22" s="71"/>
      <c r="BX22" s="138"/>
      <c r="BZ22" s="139">
        <f t="shared" si="1"/>
        <v>0</v>
      </c>
      <c r="CA22" s="140">
        <f t="shared" si="1"/>
        <v>5.5</v>
      </c>
      <c r="CB22" s="140">
        <f t="shared" si="1"/>
        <v>0</v>
      </c>
      <c r="CC22" s="140">
        <f t="shared" si="1"/>
        <v>0</v>
      </c>
      <c r="CD22" s="141">
        <f t="shared" si="1"/>
        <v>4</v>
      </c>
      <c r="CE22" s="142">
        <f t="shared" si="1"/>
        <v>1.3888888888888889E-3</v>
      </c>
    </row>
    <row r="23" spans="1:84">
      <c r="A23" s="71">
        <v>19</v>
      </c>
      <c r="B23" s="137" t="s">
        <v>36</v>
      </c>
      <c r="C23" s="64" t="s">
        <v>83</v>
      </c>
      <c r="D23" s="14" t="s">
        <v>84</v>
      </c>
      <c r="E23" s="69"/>
      <c r="F23" s="71">
        <v>0.5</v>
      </c>
      <c r="G23" s="71"/>
      <c r="H23" s="71"/>
      <c r="I23" s="71">
        <v>1</v>
      </c>
      <c r="J23" s="138"/>
      <c r="K23" s="69"/>
      <c r="L23" s="71"/>
      <c r="M23" s="71"/>
      <c r="N23" s="71"/>
      <c r="O23" s="71"/>
      <c r="P23" s="138"/>
      <c r="Q23" s="69"/>
      <c r="R23" s="71">
        <v>0.5</v>
      </c>
      <c r="S23" s="71"/>
      <c r="T23" s="71"/>
      <c r="U23" s="71">
        <v>1</v>
      </c>
      <c r="V23" s="138"/>
      <c r="W23" s="69"/>
      <c r="X23" s="71">
        <v>1</v>
      </c>
      <c r="Y23" s="71"/>
      <c r="Z23" s="71"/>
      <c r="AA23" s="71">
        <v>1</v>
      </c>
      <c r="AB23" s="138"/>
      <c r="AC23" s="69"/>
      <c r="AD23" s="71">
        <v>2</v>
      </c>
      <c r="AE23" s="71"/>
      <c r="AF23" s="71"/>
      <c r="AG23" s="71"/>
      <c r="AH23" s="138"/>
      <c r="AI23" s="69"/>
      <c r="AJ23" s="71">
        <v>1</v>
      </c>
      <c r="AK23" s="71"/>
      <c r="AL23" s="71"/>
      <c r="AM23" s="71"/>
      <c r="AN23" s="138"/>
      <c r="AO23" s="69"/>
      <c r="AP23" s="71"/>
      <c r="AQ23" s="71"/>
      <c r="AR23" s="71">
        <v>0.5</v>
      </c>
      <c r="AS23" s="71">
        <v>1</v>
      </c>
      <c r="AT23" s="138"/>
      <c r="AU23" s="69"/>
      <c r="AV23" s="71"/>
      <c r="AW23" s="71"/>
      <c r="AX23" s="71"/>
      <c r="AY23" s="71">
        <v>1</v>
      </c>
      <c r="AZ23" s="138"/>
      <c r="BA23" s="69"/>
      <c r="BB23" s="71">
        <v>0.5</v>
      </c>
      <c r="BC23" s="71"/>
      <c r="BD23" s="71"/>
      <c r="BE23" s="71"/>
      <c r="BF23" s="138"/>
      <c r="BG23" s="69">
        <v>1</v>
      </c>
      <c r="BH23" s="71"/>
      <c r="BI23" s="71"/>
      <c r="BJ23" s="71"/>
      <c r="BK23" s="71"/>
      <c r="BL23" s="138"/>
      <c r="BM23" s="69"/>
      <c r="BN23" s="71">
        <v>0.5</v>
      </c>
      <c r="BO23" s="71"/>
      <c r="BP23" s="71"/>
      <c r="BQ23" s="71">
        <v>1</v>
      </c>
      <c r="BR23" s="138"/>
      <c r="BS23" s="69"/>
      <c r="BT23" s="71"/>
      <c r="BU23" s="71">
        <v>1</v>
      </c>
      <c r="BV23" s="71">
        <v>1</v>
      </c>
      <c r="BW23" s="71"/>
      <c r="BX23" s="138"/>
      <c r="BZ23" s="139">
        <f t="shared" si="1"/>
        <v>1</v>
      </c>
      <c r="CA23" s="140">
        <f t="shared" si="1"/>
        <v>6</v>
      </c>
      <c r="CB23" s="140">
        <f t="shared" si="1"/>
        <v>1</v>
      </c>
      <c r="CC23" s="140">
        <f t="shared" si="1"/>
        <v>1.5</v>
      </c>
      <c r="CD23" s="141">
        <f t="shared" si="1"/>
        <v>6</v>
      </c>
      <c r="CE23" s="142">
        <f t="shared" si="1"/>
        <v>0</v>
      </c>
    </row>
    <row r="24" spans="1:84">
      <c r="A24" s="71">
        <v>20</v>
      </c>
      <c r="B24" s="137" t="s">
        <v>36</v>
      </c>
      <c r="C24" s="64" t="s">
        <v>85</v>
      </c>
      <c r="D24" s="14" t="s">
        <v>86</v>
      </c>
      <c r="E24" s="69"/>
      <c r="F24" s="71"/>
      <c r="G24" s="71"/>
      <c r="H24" s="71"/>
      <c r="I24" s="71">
        <v>4</v>
      </c>
      <c r="J24" s="138"/>
      <c r="K24" s="69"/>
      <c r="L24" s="71"/>
      <c r="M24" s="71"/>
      <c r="N24" s="71"/>
      <c r="O24" s="71"/>
      <c r="P24" s="138"/>
      <c r="Q24" s="69"/>
      <c r="R24" s="71"/>
      <c r="S24" s="71"/>
      <c r="T24" s="71"/>
      <c r="U24" s="71"/>
      <c r="V24" s="138"/>
      <c r="W24" s="69">
        <v>1</v>
      </c>
      <c r="X24" s="71">
        <v>1</v>
      </c>
      <c r="Y24" s="71"/>
      <c r="Z24" s="71"/>
      <c r="AA24" s="71"/>
      <c r="AB24" s="138"/>
      <c r="AC24" s="69"/>
      <c r="AD24" s="71"/>
      <c r="AE24" s="71"/>
      <c r="AF24" s="71"/>
      <c r="AG24" s="71"/>
      <c r="AH24" s="138"/>
      <c r="AI24" s="69"/>
      <c r="AJ24" s="71"/>
      <c r="AK24" s="71"/>
      <c r="AL24" s="71"/>
      <c r="AM24" s="71"/>
      <c r="AN24" s="138"/>
      <c r="AO24" s="69"/>
      <c r="AP24" s="71"/>
      <c r="AQ24" s="71"/>
      <c r="AR24" s="71"/>
      <c r="AS24" s="71"/>
      <c r="AT24" s="138"/>
      <c r="AU24" s="69"/>
      <c r="AV24" s="71"/>
      <c r="AW24" s="71"/>
      <c r="AX24" s="71"/>
      <c r="AY24" s="71"/>
      <c r="AZ24" s="138"/>
      <c r="BA24" s="69"/>
      <c r="BB24" s="71"/>
      <c r="BC24" s="71"/>
      <c r="BD24" s="71"/>
      <c r="BE24" s="71"/>
      <c r="BF24" s="138"/>
      <c r="BG24" s="69"/>
      <c r="BH24" s="71"/>
      <c r="BI24" s="71"/>
      <c r="BJ24" s="71"/>
      <c r="BK24" s="71"/>
      <c r="BL24" s="138"/>
      <c r="BM24" s="69"/>
      <c r="BN24" s="71">
        <v>2</v>
      </c>
      <c r="BO24" s="71"/>
      <c r="BP24" s="71"/>
      <c r="BQ24" s="71"/>
      <c r="BR24" s="138"/>
      <c r="BS24" s="69"/>
      <c r="BT24" s="71">
        <v>0.5</v>
      </c>
      <c r="BU24" s="71"/>
      <c r="BV24" s="71"/>
      <c r="BW24" s="71">
        <v>2</v>
      </c>
      <c r="BX24" s="138"/>
      <c r="BZ24" s="139">
        <f t="shared" si="1"/>
        <v>1</v>
      </c>
      <c r="CA24" s="140">
        <f t="shared" si="1"/>
        <v>3.5</v>
      </c>
      <c r="CB24" s="140">
        <f t="shared" si="1"/>
        <v>0</v>
      </c>
      <c r="CC24" s="140">
        <f t="shared" si="1"/>
        <v>0</v>
      </c>
      <c r="CD24" s="141">
        <f t="shared" si="1"/>
        <v>6</v>
      </c>
      <c r="CE24" s="142">
        <f t="shared" si="1"/>
        <v>0</v>
      </c>
    </row>
    <row r="25" spans="1:84">
      <c r="A25" s="71">
        <v>21</v>
      </c>
      <c r="B25" s="137" t="s">
        <v>30</v>
      </c>
      <c r="C25" s="64" t="s">
        <v>87</v>
      </c>
      <c r="D25" s="14" t="s">
        <v>88</v>
      </c>
      <c r="E25" s="69"/>
      <c r="F25" s="71">
        <v>1</v>
      </c>
      <c r="G25" s="71"/>
      <c r="H25" s="71"/>
      <c r="I25" s="71"/>
      <c r="J25" s="138"/>
      <c r="K25" s="69"/>
      <c r="L25" s="71"/>
      <c r="M25" s="71"/>
      <c r="N25" s="71"/>
      <c r="O25" s="71">
        <v>3</v>
      </c>
      <c r="P25" s="138"/>
      <c r="Q25" s="69"/>
      <c r="R25" s="71">
        <v>1</v>
      </c>
      <c r="S25" s="71"/>
      <c r="T25" s="71">
        <v>1</v>
      </c>
      <c r="U25" s="71"/>
      <c r="V25" s="138"/>
      <c r="W25" s="69"/>
      <c r="X25" s="71"/>
      <c r="Y25" s="71"/>
      <c r="Z25" s="71">
        <v>0.5</v>
      </c>
      <c r="AA25" s="71"/>
      <c r="AB25" s="138"/>
      <c r="AC25" s="69">
        <v>2</v>
      </c>
      <c r="AD25" s="71">
        <v>0.5</v>
      </c>
      <c r="AE25" s="71"/>
      <c r="AF25" s="71"/>
      <c r="AG25" s="71">
        <v>2</v>
      </c>
      <c r="AH25" s="138"/>
      <c r="AI25" s="69">
        <v>1</v>
      </c>
      <c r="AJ25" s="71"/>
      <c r="AK25" s="71"/>
      <c r="AL25" s="71"/>
      <c r="AM25" s="71"/>
      <c r="AN25" s="138"/>
      <c r="AO25" s="69"/>
      <c r="AP25" s="71"/>
      <c r="AQ25" s="71"/>
      <c r="AR25" s="71">
        <v>1</v>
      </c>
      <c r="AS25" s="71">
        <v>1</v>
      </c>
      <c r="AT25" s="138"/>
      <c r="AU25" s="69"/>
      <c r="AV25" s="71"/>
      <c r="AW25" s="71"/>
      <c r="AX25" s="71">
        <v>1</v>
      </c>
      <c r="AY25" s="71"/>
      <c r="AZ25" s="138"/>
      <c r="BA25" s="69">
        <v>1</v>
      </c>
      <c r="BB25" s="71"/>
      <c r="BC25" s="71"/>
      <c r="BD25" s="71"/>
      <c r="BE25" s="71"/>
      <c r="BF25" s="138"/>
      <c r="BG25" s="69"/>
      <c r="BH25" s="71"/>
      <c r="BI25" s="71"/>
      <c r="BJ25" s="71"/>
      <c r="BK25" s="71"/>
      <c r="BL25" s="138">
        <v>4.1666666666666666E-3</v>
      </c>
      <c r="BM25" s="69">
        <v>1</v>
      </c>
      <c r="BN25" s="71"/>
      <c r="BO25" s="71"/>
      <c r="BP25" s="71"/>
      <c r="BQ25" s="71"/>
      <c r="BR25" s="138"/>
      <c r="BS25" s="69"/>
      <c r="BT25" s="71">
        <v>2</v>
      </c>
      <c r="BU25" s="71"/>
      <c r="BV25" s="71">
        <v>1.5</v>
      </c>
      <c r="BW25" s="71"/>
      <c r="BX25" s="138"/>
      <c r="BZ25" s="139">
        <f t="shared" si="1"/>
        <v>5</v>
      </c>
      <c r="CA25" s="140">
        <f t="shared" si="1"/>
        <v>4.5</v>
      </c>
      <c r="CB25" s="140">
        <f t="shared" si="1"/>
        <v>0</v>
      </c>
      <c r="CC25" s="140">
        <f t="shared" si="1"/>
        <v>5</v>
      </c>
      <c r="CD25" s="141">
        <f t="shared" si="1"/>
        <v>6</v>
      </c>
      <c r="CE25" s="142">
        <f t="shared" si="1"/>
        <v>4.1666666666666666E-3</v>
      </c>
    </row>
    <row r="26" spans="1:84">
      <c r="A26" s="71">
        <v>22</v>
      </c>
      <c r="B26" s="137" t="s">
        <v>36</v>
      </c>
      <c r="C26" s="64" t="s">
        <v>89</v>
      </c>
      <c r="D26" s="14" t="s">
        <v>64</v>
      </c>
      <c r="E26" s="69"/>
      <c r="F26" s="71"/>
      <c r="G26" s="71"/>
      <c r="H26" s="71"/>
      <c r="I26" s="71"/>
      <c r="J26" s="138">
        <v>1.3888888888888889E-3</v>
      </c>
      <c r="K26" s="69"/>
      <c r="L26" s="71"/>
      <c r="M26" s="71"/>
      <c r="N26" s="71"/>
      <c r="O26" s="71"/>
      <c r="P26" s="138"/>
      <c r="Q26" s="69">
        <v>1</v>
      </c>
      <c r="R26" s="71"/>
      <c r="S26" s="71"/>
      <c r="T26" s="71"/>
      <c r="U26" s="71"/>
      <c r="V26" s="138"/>
      <c r="W26" s="69">
        <v>1</v>
      </c>
      <c r="X26" s="71"/>
      <c r="Y26" s="71"/>
      <c r="Z26" s="71"/>
      <c r="AA26" s="71"/>
      <c r="AB26" s="138"/>
      <c r="AC26" s="69"/>
      <c r="AD26" s="71">
        <v>1</v>
      </c>
      <c r="AE26" s="71"/>
      <c r="AF26" s="71"/>
      <c r="AG26" s="71"/>
      <c r="AH26" s="138"/>
      <c r="AI26" s="69"/>
      <c r="AJ26" s="71"/>
      <c r="AK26" s="71"/>
      <c r="AL26" s="71"/>
      <c r="AM26" s="71">
        <v>1</v>
      </c>
      <c r="AN26" s="138">
        <v>6.9444444444444447E-4</v>
      </c>
      <c r="AO26" s="69">
        <v>1</v>
      </c>
      <c r="AP26" s="71"/>
      <c r="AQ26" s="71"/>
      <c r="AR26" s="71"/>
      <c r="AS26" s="71"/>
      <c r="AT26" s="138"/>
      <c r="AU26" s="69"/>
      <c r="AV26" s="71"/>
      <c r="AW26" s="71"/>
      <c r="AX26" s="71"/>
      <c r="AY26" s="71"/>
      <c r="AZ26" s="138"/>
      <c r="BA26" s="69"/>
      <c r="BB26" s="71"/>
      <c r="BC26" s="71"/>
      <c r="BD26" s="71"/>
      <c r="BE26" s="71"/>
      <c r="BF26" s="138">
        <v>6.9444444444444447E-4</v>
      </c>
      <c r="BG26" s="69"/>
      <c r="BH26" s="71"/>
      <c r="BI26" s="71"/>
      <c r="BJ26" s="71"/>
      <c r="BK26" s="71"/>
      <c r="BL26" s="138"/>
      <c r="BM26" s="69">
        <v>1</v>
      </c>
      <c r="BN26" s="71"/>
      <c r="BO26" s="71"/>
      <c r="BP26" s="71"/>
      <c r="BQ26" s="71"/>
      <c r="BR26" s="138"/>
      <c r="BS26" s="69">
        <v>4</v>
      </c>
      <c r="BT26" s="71">
        <v>1</v>
      </c>
      <c r="BU26" s="71"/>
      <c r="BV26" s="71"/>
      <c r="BW26" s="71">
        <v>5</v>
      </c>
      <c r="BX26" s="138"/>
      <c r="BZ26" s="139">
        <f t="shared" si="1"/>
        <v>8</v>
      </c>
      <c r="CA26" s="140">
        <f t="shared" si="1"/>
        <v>2</v>
      </c>
      <c r="CB26" s="140">
        <f t="shared" si="1"/>
        <v>0</v>
      </c>
      <c r="CC26" s="140">
        <f t="shared" si="1"/>
        <v>0</v>
      </c>
      <c r="CD26" s="141">
        <f t="shared" si="1"/>
        <v>6</v>
      </c>
      <c r="CE26" s="142">
        <f t="shared" si="1"/>
        <v>2.7777777777777779E-3</v>
      </c>
    </row>
    <row r="27" spans="1:84">
      <c r="A27" s="71">
        <v>23</v>
      </c>
      <c r="B27" s="137" t="s">
        <v>36</v>
      </c>
      <c r="C27" s="64" t="s">
        <v>91</v>
      </c>
      <c r="D27" s="14" t="s">
        <v>92</v>
      </c>
      <c r="E27" s="69"/>
      <c r="F27" s="71">
        <v>2</v>
      </c>
      <c r="G27" s="71"/>
      <c r="H27" s="71"/>
      <c r="I27" s="71"/>
      <c r="J27" s="138"/>
      <c r="K27" s="95"/>
      <c r="L27" s="71">
        <v>1</v>
      </c>
      <c r="M27" s="71"/>
      <c r="N27" s="71"/>
      <c r="O27" s="71">
        <v>2</v>
      </c>
      <c r="P27" s="138"/>
      <c r="Q27" s="95">
        <v>0.5</v>
      </c>
      <c r="R27" s="71">
        <v>3</v>
      </c>
      <c r="S27" s="71">
        <v>0.5</v>
      </c>
      <c r="T27" s="71"/>
      <c r="U27" s="71"/>
      <c r="V27" s="138"/>
      <c r="W27" s="69"/>
      <c r="X27" s="71"/>
      <c r="Y27" s="71"/>
      <c r="Z27" s="71"/>
      <c r="AA27" s="71"/>
      <c r="AB27" s="138"/>
      <c r="AC27" s="95"/>
      <c r="AD27" s="71"/>
      <c r="AE27" s="71">
        <v>1</v>
      </c>
      <c r="AF27" s="71"/>
      <c r="AG27" s="71"/>
      <c r="AH27" s="138"/>
      <c r="AI27" s="69"/>
      <c r="AJ27" s="71"/>
      <c r="AK27" s="71"/>
      <c r="AL27" s="71"/>
      <c r="AM27" s="71">
        <v>3</v>
      </c>
      <c r="AN27" s="138"/>
      <c r="AO27" s="69"/>
      <c r="AP27" s="71"/>
      <c r="AQ27" s="71">
        <v>1</v>
      </c>
      <c r="AR27" s="71"/>
      <c r="AS27" s="71"/>
      <c r="AT27" s="138"/>
      <c r="AU27" s="69">
        <v>1</v>
      </c>
      <c r="AV27" s="71"/>
      <c r="AW27" s="71"/>
      <c r="AX27" s="71"/>
      <c r="AY27" s="71"/>
      <c r="AZ27" s="138"/>
      <c r="BA27" s="69"/>
      <c r="BB27" s="71"/>
      <c r="BC27" s="71"/>
      <c r="BD27" s="71"/>
      <c r="BE27" s="71"/>
      <c r="BF27" s="138"/>
      <c r="BG27" s="69">
        <v>1</v>
      </c>
      <c r="BH27" s="71"/>
      <c r="BI27" s="71">
        <v>1</v>
      </c>
      <c r="BJ27" s="71">
        <v>0.5</v>
      </c>
      <c r="BK27" s="71"/>
      <c r="BL27" s="138"/>
      <c r="BM27" s="69">
        <v>1</v>
      </c>
      <c r="BN27" s="71"/>
      <c r="BO27" s="71"/>
      <c r="BP27" s="71"/>
      <c r="BQ27" s="71">
        <v>1</v>
      </c>
      <c r="BR27" s="138"/>
      <c r="BS27" s="69"/>
      <c r="BT27" s="71"/>
      <c r="BU27" s="71"/>
      <c r="BV27" s="71">
        <v>1</v>
      </c>
      <c r="BW27" s="71"/>
      <c r="BX27" s="138"/>
      <c r="BZ27" s="139">
        <f t="shared" si="1"/>
        <v>3.5</v>
      </c>
      <c r="CA27" s="140">
        <f t="shared" si="1"/>
        <v>6</v>
      </c>
      <c r="CB27" s="140">
        <f t="shared" si="1"/>
        <v>3.5</v>
      </c>
      <c r="CC27" s="140">
        <f t="shared" si="1"/>
        <v>1.5</v>
      </c>
      <c r="CD27" s="141">
        <f t="shared" si="1"/>
        <v>6</v>
      </c>
      <c r="CE27" s="142">
        <f t="shared" si="1"/>
        <v>0</v>
      </c>
    </row>
    <row r="28" spans="1:84">
      <c r="A28" s="71">
        <v>24</v>
      </c>
      <c r="B28" s="137" t="s">
        <v>26</v>
      </c>
      <c r="C28" s="64" t="s">
        <v>95</v>
      </c>
      <c r="D28" s="14" t="s">
        <v>96</v>
      </c>
      <c r="E28" s="69"/>
      <c r="F28" s="71">
        <v>0.5</v>
      </c>
      <c r="G28" s="71"/>
      <c r="H28" s="71"/>
      <c r="I28" s="71"/>
      <c r="J28" s="138"/>
      <c r="K28" s="95">
        <v>10</v>
      </c>
      <c r="L28" s="71"/>
      <c r="M28" s="71"/>
      <c r="N28" s="71"/>
      <c r="O28" s="71"/>
      <c r="P28" s="138"/>
      <c r="Q28" s="95">
        <v>2</v>
      </c>
      <c r="R28" s="71"/>
      <c r="S28" s="71"/>
      <c r="T28" s="71"/>
      <c r="U28" s="71"/>
      <c r="V28" s="138"/>
      <c r="W28" s="69"/>
      <c r="X28" s="71"/>
      <c r="Y28" s="71"/>
      <c r="Z28" s="71"/>
      <c r="AA28" s="71"/>
      <c r="AB28" s="138"/>
      <c r="AC28" s="69"/>
      <c r="AD28" s="71"/>
      <c r="AE28" s="71"/>
      <c r="AF28" s="71"/>
      <c r="AG28" s="71"/>
      <c r="AH28" s="138"/>
      <c r="AI28" s="69">
        <v>1</v>
      </c>
      <c r="AJ28" s="71"/>
      <c r="AK28" s="71"/>
      <c r="AL28" s="71"/>
      <c r="AM28" s="71"/>
      <c r="AN28" s="138"/>
      <c r="AO28" s="69"/>
      <c r="AP28" s="71"/>
      <c r="AQ28" s="71"/>
      <c r="AR28" s="71"/>
      <c r="AS28" s="71"/>
      <c r="AT28" s="138"/>
      <c r="AU28" s="69">
        <v>1</v>
      </c>
      <c r="AV28" s="71">
        <v>2</v>
      </c>
      <c r="AW28" s="71"/>
      <c r="AX28" s="71"/>
      <c r="AY28" s="71"/>
      <c r="AZ28" s="138"/>
      <c r="BA28" s="69"/>
      <c r="BB28" s="71">
        <v>0.5</v>
      </c>
      <c r="BC28" s="71"/>
      <c r="BD28" s="71"/>
      <c r="BE28" s="71">
        <v>1</v>
      </c>
      <c r="BF28" s="138"/>
      <c r="BG28" s="69"/>
      <c r="BH28" s="71"/>
      <c r="BI28" s="71"/>
      <c r="BJ28" s="71"/>
      <c r="BK28" s="71"/>
      <c r="BL28" s="138"/>
      <c r="BM28" s="69">
        <v>5</v>
      </c>
      <c r="BN28" s="71"/>
      <c r="BO28" s="71"/>
      <c r="BP28" s="71"/>
      <c r="BQ28" s="71">
        <v>2</v>
      </c>
      <c r="BR28" s="138"/>
      <c r="BS28" s="69"/>
      <c r="BT28" s="71"/>
      <c r="BU28" s="71"/>
      <c r="BV28" s="71"/>
      <c r="BW28" s="71">
        <v>1</v>
      </c>
      <c r="BX28" s="138"/>
      <c r="BZ28" s="139">
        <f t="shared" si="1"/>
        <v>19</v>
      </c>
      <c r="CA28" s="140">
        <f t="shared" si="1"/>
        <v>3</v>
      </c>
      <c r="CB28" s="140">
        <f t="shared" si="1"/>
        <v>0</v>
      </c>
      <c r="CC28" s="140">
        <f t="shared" si="1"/>
        <v>0</v>
      </c>
      <c r="CD28" s="141">
        <f t="shared" si="1"/>
        <v>4</v>
      </c>
      <c r="CE28" s="142">
        <f t="shared" si="1"/>
        <v>0</v>
      </c>
    </row>
    <row r="29" spans="1:84">
      <c r="A29" s="71">
        <v>25</v>
      </c>
      <c r="B29" s="137" t="s">
        <v>36</v>
      </c>
      <c r="C29" s="64" t="s">
        <v>97</v>
      </c>
      <c r="D29" s="14" t="s">
        <v>69</v>
      </c>
      <c r="E29" s="69"/>
      <c r="F29" s="84"/>
      <c r="G29" s="84"/>
      <c r="H29" s="84"/>
      <c r="I29" s="84"/>
      <c r="J29" s="138"/>
      <c r="K29" s="95"/>
      <c r="L29" s="71">
        <v>2</v>
      </c>
      <c r="M29" s="71"/>
      <c r="N29" s="71"/>
      <c r="O29" s="71"/>
      <c r="P29" s="138"/>
      <c r="Q29" s="96">
        <v>1</v>
      </c>
      <c r="R29" s="84"/>
      <c r="S29" s="84"/>
      <c r="T29" s="84"/>
      <c r="U29" s="84"/>
      <c r="V29" s="138"/>
      <c r="W29" s="96"/>
      <c r="X29" s="84">
        <v>1</v>
      </c>
      <c r="Y29" s="84"/>
      <c r="Z29" s="84"/>
      <c r="AA29" s="84"/>
      <c r="AB29" s="144"/>
      <c r="AC29" s="95">
        <v>3</v>
      </c>
      <c r="AD29" s="71"/>
      <c r="AE29" s="71"/>
      <c r="AF29" s="71"/>
      <c r="AG29" s="71">
        <v>1</v>
      </c>
      <c r="AH29" s="144"/>
      <c r="AI29" s="69"/>
      <c r="AJ29" s="71"/>
      <c r="AK29" s="71"/>
      <c r="AL29" s="71"/>
      <c r="AM29" s="71"/>
      <c r="AN29" s="138"/>
      <c r="AO29" s="69"/>
      <c r="AP29" s="71"/>
      <c r="AQ29" s="71"/>
      <c r="AR29" s="71"/>
      <c r="AS29" s="71"/>
      <c r="AT29" s="138"/>
      <c r="AU29" s="69"/>
      <c r="AV29" s="71"/>
      <c r="AW29" s="71"/>
      <c r="AX29" s="71"/>
      <c r="AY29" s="71"/>
      <c r="AZ29" s="138"/>
      <c r="BA29" s="69">
        <v>1</v>
      </c>
      <c r="BB29" s="71">
        <v>2</v>
      </c>
      <c r="BC29" s="71"/>
      <c r="BD29" s="71"/>
      <c r="BE29" s="71">
        <v>1</v>
      </c>
      <c r="BF29" s="138"/>
      <c r="BG29" s="69"/>
      <c r="BH29" s="71"/>
      <c r="BI29" s="71"/>
      <c r="BJ29" s="71"/>
      <c r="BK29" s="71"/>
      <c r="BL29" s="138"/>
      <c r="BM29" s="69"/>
      <c r="BN29" s="71">
        <v>1</v>
      </c>
      <c r="BO29" s="71"/>
      <c r="BP29" s="71"/>
      <c r="BQ29" s="71"/>
      <c r="BR29" s="138">
        <v>6.9444444444444447E-4</v>
      </c>
      <c r="BS29" s="69"/>
      <c r="BT29" s="71"/>
      <c r="BU29" s="71"/>
      <c r="BV29" s="71"/>
      <c r="BW29" s="71">
        <v>2</v>
      </c>
      <c r="BX29" s="138"/>
      <c r="BZ29" s="139">
        <f t="shared" si="1"/>
        <v>5</v>
      </c>
      <c r="CA29" s="140">
        <f t="shared" si="1"/>
        <v>6</v>
      </c>
      <c r="CB29" s="140">
        <f t="shared" si="1"/>
        <v>0</v>
      </c>
      <c r="CC29" s="140">
        <f t="shared" si="1"/>
        <v>0</v>
      </c>
      <c r="CD29" s="141">
        <f t="shared" si="1"/>
        <v>4</v>
      </c>
      <c r="CE29" s="142">
        <f t="shared" si="1"/>
        <v>6.9444444444444447E-4</v>
      </c>
    </row>
    <row r="30" spans="1:84">
      <c r="A30" s="71">
        <v>26</v>
      </c>
      <c r="B30" s="137" t="s">
        <v>36</v>
      </c>
      <c r="C30" s="64" t="s">
        <v>99</v>
      </c>
      <c r="D30" s="14" t="s">
        <v>100</v>
      </c>
      <c r="E30" s="69">
        <v>2</v>
      </c>
      <c r="F30" s="71"/>
      <c r="G30" s="71"/>
      <c r="H30" s="71"/>
      <c r="I30" s="71"/>
      <c r="J30" s="145"/>
      <c r="K30" s="82"/>
      <c r="L30" s="84"/>
      <c r="M30" s="84"/>
      <c r="N30" s="84"/>
      <c r="O30" s="84"/>
      <c r="P30" s="138"/>
      <c r="Q30" s="82"/>
      <c r="R30" s="84"/>
      <c r="S30" s="84"/>
      <c r="T30" s="84"/>
      <c r="U30" s="84"/>
      <c r="V30" s="144"/>
      <c r="W30" s="95">
        <v>1</v>
      </c>
      <c r="X30" s="71">
        <v>1</v>
      </c>
      <c r="Y30" s="71"/>
      <c r="Z30" s="71">
        <v>0.5</v>
      </c>
      <c r="AA30" s="71">
        <v>2</v>
      </c>
      <c r="AB30" s="138"/>
      <c r="AC30" s="69">
        <v>1</v>
      </c>
      <c r="AD30" s="71"/>
      <c r="AE30" s="71"/>
      <c r="AF30" s="71"/>
      <c r="AG30" s="71"/>
      <c r="AH30" s="138"/>
      <c r="AI30" s="69"/>
      <c r="AJ30" s="71">
        <v>0.5</v>
      </c>
      <c r="AK30" s="71"/>
      <c r="AL30" s="71"/>
      <c r="AM30" s="71"/>
      <c r="AN30" s="138"/>
      <c r="AO30" s="69"/>
      <c r="AP30" s="71">
        <v>1</v>
      </c>
      <c r="AQ30" s="71"/>
      <c r="AR30" s="71"/>
      <c r="AS30" s="71"/>
      <c r="AT30" s="138"/>
      <c r="AU30" s="69"/>
      <c r="AV30" s="71"/>
      <c r="AW30" s="71"/>
      <c r="AX30" s="71"/>
      <c r="AY30" s="71"/>
      <c r="AZ30" s="138"/>
      <c r="BA30" s="69"/>
      <c r="BB30" s="71">
        <v>1.5</v>
      </c>
      <c r="BC30" s="71"/>
      <c r="BD30" s="71"/>
      <c r="BE30" s="71"/>
      <c r="BF30" s="138"/>
      <c r="BG30" s="69"/>
      <c r="BH30" s="71"/>
      <c r="BI30" s="71"/>
      <c r="BJ30" s="71"/>
      <c r="BK30" s="71"/>
      <c r="BL30" s="138"/>
      <c r="BM30" s="69">
        <v>1</v>
      </c>
      <c r="BN30" s="71">
        <v>2</v>
      </c>
      <c r="BO30" s="71"/>
      <c r="BP30" s="71"/>
      <c r="BQ30" s="71"/>
      <c r="BR30" s="138"/>
      <c r="BS30" s="69">
        <v>1</v>
      </c>
      <c r="BT30" s="71"/>
      <c r="BU30" s="71"/>
      <c r="BV30" s="71"/>
      <c r="BW30" s="71">
        <v>4</v>
      </c>
      <c r="BX30" s="138"/>
      <c r="BZ30" s="139">
        <f t="shared" si="1"/>
        <v>6</v>
      </c>
      <c r="CA30" s="140">
        <f t="shared" si="1"/>
        <v>6</v>
      </c>
      <c r="CB30" s="140">
        <f t="shared" si="1"/>
        <v>0</v>
      </c>
      <c r="CC30" s="140">
        <f t="shared" si="1"/>
        <v>0.5</v>
      </c>
      <c r="CD30" s="141">
        <f t="shared" si="1"/>
        <v>6</v>
      </c>
      <c r="CE30" s="142">
        <f t="shared" si="1"/>
        <v>0</v>
      </c>
    </row>
    <row r="31" spans="1:84">
      <c r="A31" s="71">
        <v>27</v>
      </c>
      <c r="B31" s="137" t="s">
        <v>36</v>
      </c>
      <c r="C31" s="64" t="s">
        <v>101</v>
      </c>
      <c r="D31" s="14" t="s">
        <v>102</v>
      </c>
      <c r="E31" s="69"/>
      <c r="F31" s="69">
        <v>1</v>
      </c>
      <c r="G31" s="71"/>
      <c r="H31" s="71"/>
      <c r="I31" s="71"/>
      <c r="J31" s="145"/>
      <c r="K31" s="69">
        <v>2</v>
      </c>
      <c r="L31" s="71"/>
      <c r="M31" s="71"/>
      <c r="N31" s="71"/>
      <c r="O31" s="71"/>
      <c r="P31" s="138"/>
      <c r="Q31" s="69">
        <v>2</v>
      </c>
      <c r="R31" s="71">
        <v>3</v>
      </c>
      <c r="S31" s="71"/>
      <c r="T31" s="71">
        <v>0.5</v>
      </c>
      <c r="U31" s="71"/>
      <c r="V31" s="138"/>
      <c r="W31" s="95"/>
      <c r="X31" s="71">
        <v>1</v>
      </c>
      <c r="Y31" s="71"/>
      <c r="Z31" s="71"/>
      <c r="AA31" s="71"/>
      <c r="AB31" s="138"/>
      <c r="AC31" s="69">
        <v>2</v>
      </c>
      <c r="AD31" s="71">
        <v>1</v>
      </c>
      <c r="AE31" s="71"/>
      <c r="AF31" s="71"/>
      <c r="AG31" s="71"/>
      <c r="AH31" s="138"/>
      <c r="AI31" s="69">
        <v>6</v>
      </c>
      <c r="AJ31" s="71"/>
      <c r="AK31" s="71"/>
      <c r="AL31" s="71"/>
      <c r="AM31" s="71">
        <v>3</v>
      </c>
      <c r="AN31" s="138"/>
      <c r="AO31" s="69">
        <v>2</v>
      </c>
      <c r="AP31" s="71"/>
      <c r="AQ31" s="71">
        <v>1.5</v>
      </c>
      <c r="AR31" s="71"/>
      <c r="AS31" s="71">
        <v>1</v>
      </c>
      <c r="AT31" s="138"/>
      <c r="AU31" s="69"/>
      <c r="AV31" s="71"/>
      <c r="AW31" s="71"/>
      <c r="AX31" s="71"/>
      <c r="AY31" s="71"/>
      <c r="AZ31" s="138"/>
      <c r="BA31" s="69">
        <v>1</v>
      </c>
      <c r="BB31" s="71"/>
      <c r="BC31" s="71">
        <v>3</v>
      </c>
      <c r="BD31" s="71"/>
      <c r="BE31" s="71"/>
      <c r="BF31" s="138"/>
      <c r="BG31" s="69">
        <v>1</v>
      </c>
      <c r="BH31" s="71"/>
      <c r="BI31" s="71"/>
      <c r="BJ31" s="71"/>
      <c r="BK31" s="71"/>
      <c r="BL31" s="138"/>
      <c r="BM31" s="69"/>
      <c r="BN31" s="71"/>
      <c r="BO31" s="71"/>
      <c r="BP31" s="71"/>
      <c r="BQ31" s="71"/>
      <c r="BR31" s="138"/>
      <c r="BS31" s="69">
        <v>1</v>
      </c>
      <c r="BT31" s="71"/>
      <c r="BU31" s="71">
        <v>0.5</v>
      </c>
      <c r="BV31" s="71"/>
      <c r="BW31" s="71">
        <v>2</v>
      </c>
      <c r="BX31" s="138"/>
      <c r="BZ31" s="139">
        <f t="shared" si="1"/>
        <v>17</v>
      </c>
      <c r="CA31" s="140">
        <f t="shared" si="1"/>
        <v>6</v>
      </c>
      <c r="CB31" s="140">
        <f t="shared" si="1"/>
        <v>5</v>
      </c>
      <c r="CC31" s="140">
        <f t="shared" si="1"/>
        <v>0.5</v>
      </c>
      <c r="CD31" s="141">
        <f t="shared" si="1"/>
        <v>6</v>
      </c>
      <c r="CE31" s="142">
        <f t="shared" si="1"/>
        <v>0</v>
      </c>
    </row>
    <row r="32" spans="1:84" ht="21" customHeight="1">
      <c r="A32" s="71">
        <v>28</v>
      </c>
      <c r="B32" s="137" t="s">
        <v>36</v>
      </c>
      <c r="C32" s="64" t="s">
        <v>101</v>
      </c>
      <c r="D32" s="14" t="s">
        <v>103</v>
      </c>
      <c r="E32" s="69">
        <v>2</v>
      </c>
      <c r="F32" s="71"/>
      <c r="G32" s="71"/>
      <c r="H32" s="71"/>
      <c r="I32" s="71"/>
      <c r="J32" s="144"/>
      <c r="K32" s="69">
        <v>2</v>
      </c>
      <c r="L32" s="71">
        <v>0.5</v>
      </c>
      <c r="M32" s="71"/>
      <c r="N32" s="71"/>
      <c r="O32" s="71"/>
      <c r="P32" s="138"/>
      <c r="Q32" s="82">
        <v>2</v>
      </c>
      <c r="R32" s="84">
        <v>2</v>
      </c>
      <c r="S32" s="84"/>
      <c r="T32" s="84"/>
      <c r="U32" s="84">
        <v>2</v>
      </c>
      <c r="V32" s="144"/>
      <c r="W32" s="95">
        <v>1</v>
      </c>
      <c r="X32" s="71">
        <v>3</v>
      </c>
      <c r="Y32" s="71"/>
      <c r="Z32" s="71"/>
      <c r="AA32" s="71">
        <v>1</v>
      </c>
      <c r="AB32" s="138"/>
      <c r="AC32" s="69">
        <v>5</v>
      </c>
      <c r="AD32" s="71"/>
      <c r="AE32" s="71"/>
      <c r="AF32" s="71">
        <v>3</v>
      </c>
      <c r="AG32" s="71"/>
      <c r="AH32" s="138"/>
      <c r="AI32" s="69">
        <v>4</v>
      </c>
      <c r="AJ32" s="71"/>
      <c r="AK32" s="71"/>
      <c r="AL32" s="71">
        <v>2</v>
      </c>
      <c r="AM32" s="71"/>
      <c r="AN32" s="138"/>
      <c r="AO32" s="69">
        <v>4</v>
      </c>
      <c r="AP32" s="71"/>
      <c r="AQ32" s="71">
        <v>1</v>
      </c>
      <c r="AR32" s="71"/>
      <c r="AS32" s="71"/>
      <c r="AT32" s="138"/>
      <c r="AU32" s="69">
        <v>4</v>
      </c>
      <c r="AV32" s="71">
        <v>0.5</v>
      </c>
      <c r="AW32" s="71"/>
      <c r="AX32" s="71"/>
      <c r="AY32" s="71"/>
      <c r="AZ32" s="138"/>
      <c r="BA32" s="69">
        <v>1</v>
      </c>
      <c r="BB32" s="71"/>
      <c r="BC32" s="71"/>
      <c r="BD32" s="71"/>
      <c r="BE32" s="71"/>
      <c r="BF32" s="138"/>
      <c r="BG32" s="69">
        <v>1</v>
      </c>
      <c r="BH32" s="71"/>
      <c r="BI32" s="71"/>
      <c r="BJ32" s="71">
        <v>1.5</v>
      </c>
      <c r="BK32" s="71">
        <v>1</v>
      </c>
      <c r="BL32" s="138"/>
      <c r="BM32" s="69">
        <v>4</v>
      </c>
      <c r="BN32" s="71"/>
      <c r="BO32" s="71"/>
      <c r="BP32" s="71"/>
      <c r="BQ32" s="71"/>
      <c r="BR32" s="138"/>
      <c r="BS32" s="69">
        <v>2</v>
      </c>
      <c r="BT32" s="71"/>
      <c r="BU32" s="71"/>
      <c r="BV32" s="71"/>
      <c r="BW32" s="71">
        <v>2</v>
      </c>
      <c r="BX32" s="138"/>
      <c r="BZ32" s="139">
        <f t="shared" si="1"/>
        <v>32</v>
      </c>
      <c r="CA32" s="140">
        <f t="shared" si="1"/>
        <v>6</v>
      </c>
      <c r="CB32" s="140">
        <f t="shared" si="1"/>
        <v>1</v>
      </c>
      <c r="CC32" s="140">
        <f t="shared" si="1"/>
        <v>6.5</v>
      </c>
      <c r="CD32" s="141">
        <f t="shared" si="1"/>
        <v>6</v>
      </c>
      <c r="CE32" s="142">
        <f t="shared" si="1"/>
        <v>0</v>
      </c>
      <c r="CF32" s="215"/>
    </row>
    <row r="33" spans="1:84">
      <c r="A33" s="71">
        <v>29</v>
      </c>
      <c r="B33" s="137" t="s">
        <v>36</v>
      </c>
      <c r="C33" s="64" t="s">
        <v>104</v>
      </c>
      <c r="D33" s="14" t="s">
        <v>105</v>
      </c>
      <c r="E33" s="69">
        <v>2</v>
      </c>
      <c r="F33" s="71">
        <v>3</v>
      </c>
      <c r="G33" s="71"/>
      <c r="H33" s="71"/>
      <c r="I33" s="71"/>
      <c r="J33" s="144"/>
      <c r="K33" s="82"/>
      <c r="L33" s="84">
        <v>1</v>
      </c>
      <c r="M33" s="84"/>
      <c r="N33" s="84">
        <v>1</v>
      </c>
      <c r="O33" s="84"/>
      <c r="P33" s="144"/>
      <c r="Q33" s="82">
        <v>1</v>
      </c>
      <c r="R33" s="84">
        <v>1</v>
      </c>
      <c r="S33" s="84"/>
      <c r="T33" s="84">
        <v>1</v>
      </c>
      <c r="U33" s="84"/>
      <c r="V33" s="144"/>
      <c r="W33" s="69"/>
      <c r="X33" s="71">
        <v>1</v>
      </c>
      <c r="Y33" s="71"/>
      <c r="Z33" s="71">
        <v>0.5</v>
      </c>
      <c r="AA33" s="71"/>
      <c r="AB33" s="138"/>
      <c r="AC33" s="69">
        <v>2.5</v>
      </c>
      <c r="AD33" s="71"/>
      <c r="AE33" s="71"/>
      <c r="AF33" s="71">
        <v>1</v>
      </c>
      <c r="AG33" s="71"/>
      <c r="AH33" s="138"/>
      <c r="AI33" s="69"/>
      <c r="AJ33" s="71"/>
      <c r="AK33" s="71"/>
      <c r="AL33" s="71">
        <v>1</v>
      </c>
      <c r="AM33" s="71"/>
      <c r="AN33" s="138"/>
      <c r="AO33" s="69">
        <v>2</v>
      </c>
      <c r="AP33" s="71"/>
      <c r="AQ33" s="71"/>
      <c r="AR33" s="71">
        <v>1</v>
      </c>
      <c r="AS33" s="71"/>
      <c r="AT33" s="138"/>
      <c r="AU33" s="69"/>
      <c r="AV33" s="71"/>
      <c r="AW33" s="71"/>
      <c r="AX33" s="71"/>
      <c r="AY33" s="71">
        <v>2</v>
      </c>
      <c r="AZ33" s="138"/>
      <c r="BA33" s="69">
        <v>1</v>
      </c>
      <c r="BB33" s="71"/>
      <c r="BC33" s="71"/>
      <c r="BD33" s="71"/>
      <c r="BE33" s="71"/>
      <c r="BF33" s="138"/>
      <c r="BG33" s="69">
        <v>1</v>
      </c>
      <c r="BH33" s="71"/>
      <c r="BI33" s="71"/>
      <c r="BJ33" s="71"/>
      <c r="BK33" s="71"/>
      <c r="BL33" s="138"/>
      <c r="BM33" s="69">
        <v>1</v>
      </c>
      <c r="BN33" s="71"/>
      <c r="BO33" s="71"/>
      <c r="BP33" s="71">
        <v>1</v>
      </c>
      <c r="BQ33" s="71"/>
      <c r="BR33" s="138"/>
      <c r="BS33" s="69">
        <v>2</v>
      </c>
      <c r="BT33" s="71"/>
      <c r="BU33" s="71"/>
      <c r="BV33" s="71"/>
      <c r="BW33" s="71">
        <v>4</v>
      </c>
      <c r="BX33" s="138"/>
      <c r="BZ33" s="139">
        <f t="shared" si="1"/>
        <v>12.5</v>
      </c>
      <c r="CA33" s="140">
        <f t="shared" si="1"/>
        <v>6</v>
      </c>
      <c r="CB33" s="140">
        <f t="shared" si="1"/>
        <v>0</v>
      </c>
      <c r="CC33" s="140">
        <f t="shared" si="1"/>
        <v>6.5</v>
      </c>
      <c r="CD33" s="141">
        <f t="shared" si="1"/>
        <v>6</v>
      </c>
      <c r="CE33" s="142">
        <f t="shared" si="1"/>
        <v>0</v>
      </c>
    </row>
    <row r="34" spans="1:84">
      <c r="A34" s="71">
        <v>30</v>
      </c>
      <c r="B34" s="137" t="s">
        <v>36</v>
      </c>
      <c r="C34" s="64" t="s">
        <v>106</v>
      </c>
      <c r="D34" s="14" t="s">
        <v>107</v>
      </c>
      <c r="E34" s="69"/>
      <c r="F34" s="71"/>
      <c r="G34" s="71"/>
      <c r="H34" s="71"/>
      <c r="I34" s="71"/>
      <c r="J34" s="138">
        <v>6.9444444444444447E-4</v>
      </c>
      <c r="K34" s="82"/>
      <c r="L34" s="84"/>
      <c r="M34" s="84"/>
      <c r="N34" s="84"/>
      <c r="O34" s="84"/>
      <c r="P34" s="144">
        <v>6.9444444444444447E-4</v>
      </c>
      <c r="Q34" s="82"/>
      <c r="R34" s="84">
        <v>0.5</v>
      </c>
      <c r="S34" s="84"/>
      <c r="T34" s="84"/>
      <c r="U34" s="84"/>
      <c r="V34" s="144"/>
      <c r="W34" s="95">
        <v>1.5</v>
      </c>
      <c r="X34" s="71"/>
      <c r="Y34" s="71"/>
      <c r="Z34" s="71"/>
      <c r="AA34" s="71">
        <v>2</v>
      </c>
      <c r="AB34" s="138"/>
      <c r="AC34" s="69">
        <v>1</v>
      </c>
      <c r="AD34" s="71">
        <v>2</v>
      </c>
      <c r="AE34" s="71"/>
      <c r="AF34" s="71"/>
      <c r="AG34" s="71">
        <v>1</v>
      </c>
      <c r="AH34" s="138"/>
      <c r="AI34" s="69"/>
      <c r="AJ34" s="71"/>
      <c r="AK34" s="71"/>
      <c r="AL34" s="71"/>
      <c r="AM34" s="71">
        <v>3</v>
      </c>
      <c r="AN34" s="138"/>
      <c r="AO34" s="69"/>
      <c r="AP34" s="71">
        <v>1</v>
      </c>
      <c r="AQ34" s="71"/>
      <c r="AR34" s="71"/>
      <c r="AS34" s="71"/>
      <c r="AT34" s="138"/>
      <c r="AU34" s="69"/>
      <c r="AV34" s="71"/>
      <c r="AW34" s="71"/>
      <c r="AX34" s="71"/>
      <c r="AY34" s="71"/>
      <c r="AZ34" s="138"/>
      <c r="BA34" s="69"/>
      <c r="BB34" s="71"/>
      <c r="BC34" s="71"/>
      <c r="BD34" s="71"/>
      <c r="BE34" s="71"/>
      <c r="BF34" s="138"/>
      <c r="BG34" s="69"/>
      <c r="BH34" s="71">
        <v>1</v>
      </c>
      <c r="BI34" s="71"/>
      <c r="BJ34" s="71"/>
      <c r="BK34" s="71"/>
      <c r="BL34" s="138"/>
      <c r="BM34" s="69">
        <v>5</v>
      </c>
      <c r="BN34" s="71">
        <v>1</v>
      </c>
      <c r="BO34" s="71"/>
      <c r="BP34" s="71"/>
      <c r="BQ34" s="71"/>
      <c r="BR34" s="138"/>
      <c r="BS34" s="69"/>
      <c r="BT34" s="71">
        <v>0.5</v>
      </c>
      <c r="BU34" s="71"/>
      <c r="BV34" s="71"/>
      <c r="BW34" s="71"/>
      <c r="BX34" s="138"/>
      <c r="BZ34" s="139">
        <f t="shared" si="1"/>
        <v>7.5</v>
      </c>
      <c r="CA34" s="140">
        <f t="shared" si="1"/>
        <v>6</v>
      </c>
      <c r="CB34" s="140">
        <f t="shared" si="1"/>
        <v>0</v>
      </c>
      <c r="CC34" s="140">
        <f t="shared" si="1"/>
        <v>0</v>
      </c>
      <c r="CD34" s="141">
        <f t="shared" si="1"/>
        <v>6</v>
      </c>
      <c r="CE34" s="142">
        <f t="shared" si="1"/>
        <v>1.3888888888888889E-3</v>
      </c>
    </row>
    <row r="35" spans="1:84">
      <c r="A35" s="71">
        <v>31</v>
      </c>
      <c r="B35" s="137" t="s">
        <v>36</v>
      </c>
      <c r="C35" s="64" t="s">
        <v>108</v>
      </c>
      <c r="D35" s="14" t="s">
        <v>109</v>
      </c>
      <c r="E35" s="69"/>
      <c r="F35" s="71">
        <v>2</v>
      </c>
      <c r="G35" s="71"/>
      <c r="H35" s="71"/>
      <c r="I35" s="71"/>
      <c r="J35" s="138"/>
      <c r="K35" s="69"/>
      <c r="L35" s="71">
        <v>1</v>
      </c>
      <c r="M35" s="71"/>
      <c r="N35" s="71"/>
      <c r="O35" s="71"/>
      <c r="P35" s="138"/>
      <c r="Q35" s="82"/>
      <c r="R35" s="84">
        <v>2</v>
      </c>
      <c r="S35" s="84"/>
      <c r="T35" s="84">
        <v>0.5</v>
      </c>
      <c r="U35" s="84"/>
      <c r="V35" s="144"/>
      <c r="W35" s="69"/>
      <c r="X35" s="71">
        <v>0.5</v>
      </c>
      <c r="Y35" s="71"/>
      <c r="Z35" s="71"/>
      <c r="AA35" s="71"/>
      <c r="AB35" s="138"/>
      <c r="AC35" s="69"/>
      <c r="AD35" s="71"/>
      <c r="AE35" s="71"/>
      <c r="AF35" s="71"/>
      <c r="AG35" s="71"/>
      <c r="AH35" s="138"/>
      <c r="AI35" s="69"/>
      <c r="AJ35" s="71"/>
      <c r="AK35" s="71"/>
      <c r="AL35" s="71"/>
      <c r="AM35" s="71">
        <v>1</v>
      </c>
      <c r="AN35" s="138"/>
      <c r="AO35" s="69"/>
      <c r="AP35" s="71"/>
      <c r="AQ35" s="71"/>
      <c r="AR35" s="71"/>
      <c r="AS35" s="71">
        <v>1</v>
      </c>
      <c r="AT35" s="138"/>
      <c r="AU35" s="69"/>
      <c r="AV35" s="71"/>
      <c r="AW35" s="71"/>
      <c r="AX35" s="71"/>
      <c r="AY35" s="71"/>
      <c r="AZ35" s="138"/>
      <c r="BA35" s="69"/>
      <c r="BB35" s="71"/>
      <c r="BC35" s="71"/>
      <c r="BD35" s="71"/>
      <c r="BE35" s="71"/>
      <c r="BF35" s="138"/>
      <c r="BG35" s="69"/>
      <c r="BH35" s="71"/>
      <c r="BI35" s="71"/>
      <c r="BJ35" s="71"/>
      <c r="BK35" s="71"/>
      <c r="BL35" s="138"/>
      <c r="BM35" s="69"/>
      <c r="BN35" s="71">
        <v>0.5</v>
      </c>
      <c r="BO35" s="71"/>
      <c r="BP35" s="71"/>
      <c r="BQ35" s="71"/>
      <c r="BR35" s="138"/>
      <c r="BS35" s="69"/>
      <c r="BT35" s="71"/>
      <c r="BU35" s="71">
        <v>2.5</v>
      </c>
      <c r="BV35" s="71"/>
      <c r="BW35" s="71">
        <v>4</v>
      </c>
      <c r="BX35" s="138"/>
      <c r="BZ35" s="139">
        <f t="shared" si="1"/>
        <v>0</v>
      </c>
      <c r="CA35" s="140">
        <f t="shared" si="1"/>
        <v>6</v>
      </c>
      <c r="CB35" s="140">
        <f t="shared" si="1"/>
        <v>2.5</v>
      </c>
      <c r="CC35" s="140">
        <f t="shared" si="1"/>
        <v>0.5</v>
      </c>
      <c r="CD35" s="141">
        <f t="shared" si="1"/>
        <v>6</v>
      </c>
      <c r="CE35" s="142">
        <f t="shared" si="1"/>
        <v>0</v>
      </c>
    </row>
    <row r="36" spans="1:84">
      <c r="A36" s="71">
        <v>32</v>
      </c>
      <c r="B36" s="137" t="s">
        <v>36</v>
      </c>
      <c r="C36" s="74" t="s">
        <v>110</v>
      </c>
      <c r="D36" s="107" t="s">
        <v>111</v>
      </c>
      <c r="E36" s="69">
        <v>1</v>
      </c>
      <c r="F36" s="71">
        <v>1</v>
      </c>
      <c r="G36" s="71"/>
      <c r="H36" s="71"/>
      <c r="I36" s="71"/>
      <c r="J36" s="138"/>
      <c r="K36" s="69"/>
      <c r="L36" s="71"/>
      <c r="M36" s="71"/>
      <c r="N36" s="71"/>
      <c r="O36" s="71"/>
      <c r="P36" s="138"/>
      <c r="Q36" s="69"/>
      <c r="R36" s="71"/>
      <c r="S36" s="71"/>
      <c r="T36" s="71"/>
      <c r="U36" s="71">
        <v>1</v>
      </c>
      <c r="V36" s="138"/>
      <c r="W36" s="69"/>
      <c r="X36" s="71"/>
      <c r="Y36" s="71"/>
      <c r="Z36" s="71"/>
      <c r="AA36" s="71"/>
      <c r="AB36" s="138"/>
      <c r="AC36" s="69"/>
      <c r="AD36" s="71"/>
      <c r="AE36" s="71"/>
      <c r="AF36" s="71"/>
      <c r="AG36" s="71"/>
      <c r="AH36" s="138"/>
      <c r="AI36" s="69">
        <v>1</v>
      </c>
      <c r="AJ36" s="71"/>
      <c r="AK36" s="71"/>
      <c r="AL36" s="71"/>
      <c r="AM36" s="71"/>
      <c r="AN36" s="138"/>
      <c r="AO36" s="69"/>
      <c r="AP36" s="71">
        <v>1</v>
      </c>
      <c r="AQ36" s="71"/>
      <c r="AR36" s="71"/>
      <c r="AS36" s="71"/>
      <c r="AT36" s="138"/>
      <c r="AU36" s="69"/>
      <c r="AV36" s="71">
        <v>1.5</v>
      </c>
      <c r="AW36" s="71"/>
      <c r="AX36" s="71"/>
      <c r="AY36" s="71">
        <v>1</v>
      </c>
      <c r="AZ36" s="138"/>
      <c r="BA36" s="69"/>
      <c r="BB36" s="71"/>
      <c r="BC36" s="71"/>
      <c r="BD36" s="71"/>
      <c r="BE36" s="71"/>
      <c r="BF36" s="138"/>
      <c r="BG36" s="69"/>
      <c r="BH36" s="71"/>
      <c r="BI36" s="71"/>
      <c r="BJ36" s="71"/>
      <c r="BK36" s="71"/>
      <c r="BL36" s="138"/>
      <c r="BM36" s="69"/>
      <c r="BN36" s="71"/>
      <c r="BO36" s="71"/>
      <c r="BP36" s="71"/>
      <c r="BQ36" s="71"/>
      <c r="BR36" s="138"/>
      <c r="BS36" s="69"/>
      <c r="BT36" s="71">
        <v>2</v>
      </c>
      <c r="BU36" s="71"/>
      <c r="BV36" s="71"/>
      <c r="BW36" s="71">
        <v>4</v>
      </c>
      <c r="BX36" s="138"/>
      <c r="BZ36" s="139">
        <f t="shared" si="1"/>
        <v>2</v>
      </c>
      <c r="CA36" s="140">
        <f t="shared" si="1"/>
        <v>5.5</v>
      </c>
      <c r="CB36" s="140">
        <f t="shared" si="1"/>
        <v>0</v>
      </c>
      <c r="CC36" s="140">
        <f t="shared" si="1"/>
        <v>0</v>
      </c>
      <c r="CD36" s="141">
        <f t="shared" si="1"/>
        <v>6</v>
      </c>
      <c r="CE36" s="142">
        <f t="shared" si="1"/>
        <v>0</v>
      </c>
    </row>
    <row r="37" spans="1:84">
      <c r="A37" s="71">
        <v>33</v>
      </c>
      <c r="B37" s="137" t="s">
        <v>36</v>
      </c>
      <c r="C37" s="64" t="s">
        <v>113</v>
      </c>
      <c r="D37" s="14" t="s">
        <v>114</v>
      </c>
      <c r="E37" s="69">
        <v>1</v>
      </c>
      <c r="F37" s="71"/>
      <c r="G37" s="71"/>
      <c r="H37" s="71"/>
      <c r="I37" s="71"/>
      <c r="J37" s="138"/>
      <c r="K37" s="69"/>
      <c r="L37" s="71"/>
      <c r="M37" s="71"/>
      <c r="N37" s="71"/>
      <c r="O37" s="71"/>
      <c r="P37" s="138"/>
      <c r="Q37" s="69"/>
      <c r="R37" s="71"/>
      <c r="S37" s="71"/>
      <c r="T37" s="71"/>
      <c r="U37" s="71"/>
      <c r="V37" s="138"/>
      <c r="W37" s="69"/>
      <c r="X37" s="71">
        <v>2</v>
      </c>
      <c r="Y37" s="71"/>
      <c r="Z37" s="71"/>
      <c r="AA37" s="71"/>
      <c r="AB37" s="138"/>
      <c r="AC37" s="69"/>
      <c r="AD37" s="71">
        <v>2</v>
      </c>
      <c r="AE37" s="71"/>
      <c r="AF37" s="71"/>
      <c r="AG37" s="71"/>
      <c r="AH37" s="138"/>
      <c r="AI37" s="69"/>
      <c r="AJ37" s="71"/>
      <c r="AK37" s="71"/>
      <c r="AL37" s="71"/>
      <c r="AM37" s="71">
        <v>1</v>
      </c>
      <c r="AN37" s="138"/>
      <c r="AO37" s="69"/>
      <c r="AP37" s="71">
        <v>0.5</v>
      </c>
      <c r="AQ37" s="71"/>
      <c r="AR37" s="71"/>
      <c r="AS37" s="71"/>
      <c r="AT37" s="138"/>
      <c r="AU37" s="69"/>
      <c r="AV37" s="71"/>
      <c r="AW37" s="71"/>
      <c r="AX37" s="71"/>
      <c r="AY37" s="71">
        <v>1</v>
      </c>
      <c r="AZ37" s="138"/>
      <c r="BA37" s="69"/>
      <c r="BB37" s="71">
        <v>0.5</v>
      </c>
      <c r="BC37" s="71"/>
      <c r="BD37" s="71"/>
      <c r="BE37" s="71"/>
      <c r="BF37" s="138"/>
      <c r="BG37" s="69"/>
      <c r="BH37" s="71">
        <v>1</v>
      </c>
      <c r="BI37" s="71"/>
      <c r="BJ37" s="71"/>
      <c r="BK37" s="71">
        <v>1</v>
      </c>
      <c r="BL37" s="138"/>
      <c r="BM37" s="69"/>
      <c r="BN37" s="71"/>
      <c r="BO37" s="71"/>
      <c r="BP37" s="71"/>
      <c r="BQ37" s="71"/>
      <c r="BR37" s="138"/>
      <c r="BS37" s="69"/>
      <c r="BT37" s="71"/>
      <c r="BU37" s="71"/>
      <c r="BV37" s="71"/>
      <c r="BW37" s="71">
        <v>2</v>
      </c>
      <c r="BX37" s="138"/>
      <c r="BZ37" s="139">
        <f t="shared" si="1"/>
        <v>1</v>
      </c>
      <c r="CA37" s="140">
        <f t="shared" si="1"/>
        <v>6</v>
      </c>
      <c r="CB37" s="140">
        <f t="shared" si="1"/>
        <v>0</v>
      </c>
      <c r="CC37" s="140">
        <f t="shared" si="1"/>
        <v>0</v>
      </c>
      <c r="CD37" s="141">
        <f t="shared" si="1"/>
        <v>5</v>
      </c>
      <c r="CE37" s="142">
        <f t="shared" si="1"/>
        <v>0</v>
      </c>
    </row>
    <row r="38" spans="1:84">
      <c r="A38" s="71">
        <v>34</v>
      </c>
      <c r="B38" s="137" t="s">
        <v>36</v>
      </c>
      <c r="C38" s="74" t="s">
        <v>115</v>
      </c>
      <c r="D38" s="107" t="s">
        <v>116</v>
      </c>
      <c r="E38" s="69"/>
      <c r="F38" s="71"/>
      <c r="G38" s="71"/>
      <c r="H38" s="71"/>
      <c r="I38" s="71"/>
      <c r="J38" s="144"/>
      <c r="K38" s="82"/>
      <c r="L38" s="84"/>
      <c r="M38" s="84"/>
      <c r="N38" s="84"/>
      <c r="O38" s="84"/>
      <c r="P38" s="144">
        <v>1.3888888888888889E-3</v>
      </c>
      <c r="Q38" s="82">
        <v>1</v>
      </c>
      <c r="R38" s="84">
        <v>4</v>
      </c>
      <c r="S38" s="84"/>
      <c r="T38" s="84"/>
      <c r="U38" s="84"/>
      <c r="V38" s="144"/>
      <c r="W38" s="69"/>
      <c r="X38" s="71"/>
      <c r="Y38" s="71"/>
      <c r="Z38" s="71"/>
      <c r="AA38" s="71"/>
      <c r="AB38" s="138"/>
      <c r="AC38" s="69"/>
      <c r="AD38" s="71"/>
      <c r="AE38" s="71"/>
      <c r="AF38" s="71"/>
      <c r="AG38" s="71">
        <v>3</v>
      </c>
      <c r="AH38" s="138"/>
      <c r="AI38" s="69">
        <v>1</v>
      </c>
      <c r="AJ38" s="71"/>
      <c r="AK38" s="71"/>
      <c r="AL38" s="71"/>
      <c r="AM38" s="71"/>
      <c r="AN38" s="138"/>
      <c r="AO38" s="69">
        <v>1</v>
      </c>
      <c r="AP38" s="71"/>
      <c r="AQ38" s="71"/>
      <c r="AR38" s="71"/>
      <c r="AS38" s="71"/>
      <c r="AT38" s="138"/>
      <c r="AU38" s="69">
        <v>0.5</v>
      </c>
      <c r="AV38" s="71"/>
      <c r="AW38" s="71"/>
      <c r="AX38" s="71"/>
      <c r="AY38" s="71"/>
      <c r="AZ38" s="138"/>
      <c r="BA38" s="69"/>
      <c r="BB38" s="71"/>
      <c r="BC38" s="71"/>
      <c r="BD38" s="71"/>
      <c r="BE38" s="71"/>
      <c r="BF38" s="138"/>
      <c r="BG38" s="69">
        <v>1</v>
      </c>
      <c r="BH38" s="71">
        <v>2</v>
      </c>
      <c r="BI38" s="71"/>
      <c r="BJ38" s="71"/>
      <c r="BK38" s="71"/>
      <c r="BL38" s="138"/>
      <c r="BM38" s="69">
        <v>2</v>
      </c>
      <c r="BN38" s="71"/>
      <c r="BO38" s="71">
        <v>2</v>
      </c>
      <c r="BP38" s="71"/>
      <c r="BQ38" s="71"/>
      <c r="BR38" s="138"/>
      <c r="BS38" s="69"/>
      <c r="BT38" s="71"/>
      <c r="BU38" s="71"/>
      <c r="BV38" s="71"/>
      <c r="BW38" s="71">
        <v>3</v>
      </c>
      <c r="BX38" s="138"/>
      <c r="BZ38" s="139">
        <f t="shared" si="1"/>
        <v>6.5</v>
      </c>
      <c r="CA38" s="140">
        <f t="shared" si="1"/>
        <v>6</v>
      </c>
      <c r="CB38" s="140">
        <f t="shared" si="1"/>
        <v>2</v>
      </c>
      <c r="CC38" s="140">
        <f t="shared" si="1"/>
        <v>0</v>
      </c>
      <c r="CD38" s="141">
        <f t="shared" si="1"/>
        <v>6</v>
      </c>
      <c r="CE38" s="142">
        <f t="shared" si="1"/>
        <v>1.3888888888888889E-3</v>
      </c>
    </row>
    <row r="39" spans="1:84">
      <c r="A39" s="71">
        <v>35</v>
      </c>
      <c r="B39" s="137" t="s">
        <v>30</v>
      </c>
      <c r="C39" s="64" t="s">
        <v>117</v>
      </c>
      <c r="D39" s="14" t="s">
        <v>71</v>
      </c>
      <c r="E39" s="69">
        <v>3</v>
      </c>
      <c r="F39" s="71">
        <v>0.5</v>
      </c>
      <c r="G39" s="71"/>
      <c r="H39" s="71"/>
      <c r="I39" s="71">
        <v>1</v>
      </c>
      <c r="J39" s="144"/>
      <c r="K39" s="82">
        <v>3</v>
      </c>
      <c r="L39" s="84">
        <v>2.5</v>
      </c>
      <c r="M39" s="84"/>
      <c r="N39" s="84"/>
      <c r="O39" s="84"/>
      <c r="P39" s="144"/>
      <c r="Q39" s="82">
        <v>7</v>
      </c>
      <c r="R39" s="84">
        <v>1</v>
      </c>
      <c r="S39" s="84"/>
      <c r="T39" s="84"/>
      <c r="U39" s="84"/>
      <c r="V39" s="144"/>
      <c r="W39" s="69">
        <v>1</v>
      </c>
      <c r="X39" s="71"/>
      <c r="Y39" s="71"/>
      <c r="Z39" s="71"/>
      <c r="AA39" s="71">
        <v>1</v>
      </c>
      <c r="AB39" s="138"/>
      <c r="AC39" s="69">
        <v>2</v>
      </c>
      <c r="AD39" s="71"/>
      <c r="AE39" s="71"/>
      <c r="AF39" s="71"/>
      <c r="AG39" s="71"/>
      <c r="AH39" s="138"/>
      <c r="AI39" s="69">
        <v>2</v>
      </c>
      <c r="AJ39" s="71">
        <v>1.5</v>
      </c>
      <c r="AK39" s="71"/>
      <c r="AL39" s="71">
        <v>0.5</v>
      </c>
      <c r="AM39" s="71">
        <v>1</v>
      </c>
      <c r="AN39" s="138"/>
      <c r="AO39" s="69">
        <v>11</v>
      </c>
      <c r="AP39" s="71"/>
      <c r="AQ39" s="71"/>
      <c r="AR39" s="71"/>
      <c r="AS39" s="71"/>
      <c r="AT39" s="138"/>
      <c r="AU39" s="69">
        <v>0.5</v>
      </c>
      <c r="AV39" s="71">
        <v>0.5</v>
      </c>
      <c r="AW39" s="71"/>
      <c r="AX39" s="71"/>
      <c r="AY39" s="71"/>
      <c r="AZ39" s="138"/>
      <c r="BA39" s="69"/>
      <c r="BB39" s="71"/>
      <c r="BC39" s="71">
        <v>2.5</v>
      </c>
      <c r="BD39" s="71">
        <v>0.5</v>
      </c>
      <c r="BE39" s="71">
        <v>1</v>
      </c>
      <c r="BF39" s="138"/>
      <c r="BG39" s="69">
        <v>0.5</v>
      </c>
      <c r="BH39" s="71"/>
      <c r="BI39" s="71"/>
      <c r="BJ39" s="71">
        <v>1</v>
      </c>
      <c r="BK39" s="71">
        <v>1</v>
      </c>
      <c r="BL39" s="138"/>
      <c r="BM39" s="69">
        <v>3</v>
      </c>
      <c r="BN39" s="71"/>
      <c r="BO39" s="71"/>
      <c r="BP39" s="71">
        <v>1</v>
      </c>
      <c r="BQ39" s="71"/>
      <c r="BR39" s="138"/>
      <c r="BS39" s="69">
        <v>1</v>
      </c>
      <c r="BT39" s="71"/>
      <c r="BU39" s="71"/>
      <c r="BV39" s="71"/>
      <c r="BW39" s="71">
        <v>1</v>
      </c>
      <c r="BX39" s="138"/>
      <c r="BZ39" s="139">
        <f t="shared" si="1"/>
        <v>34</v>
      </c>
      <c r="CA39" s="140">
        <f t="shared" si="1"/>
        <v>6</v>
      </c>
      <c r="CB39" s="140">
        <f t="shared" si="1"/>
        <v>2.5</v>
      </c>
      <c r="CC39" s="140">
        <f t="shared" si="1"/>
        <v>3</v>
      </c>
      <c r="CD39" s="141">
        <f t="shared" si="1"/>
        <v>6</v>
      </c>
      <c r="CE39" s="142">
        <f t="shared" si="1"/>
        <v>0</v>
      </c>
    </row>
    <row r="40" spans="1:84">
      <c r="A40" s="71">
        <v>36</v>
      </c>
      <c r="B40" s="137" t="s">
        <v>36</v>
      </c>
      <c r="C40" s="64" t="s">
        <v>118</v>
      </c>
      <c r="D40" s="14" t="s">
        <v>119</v>
      </c>
      <c r="E40" s="69"/>
      <c r="F40" s="71"/>
      <c r="G40" s="71"/>
      <c r="H40" s="71"/>
      <c r="I40" s="71"/>
      <c r="J40" s="144"/>
      <c r="K40" s="82"/>
      <c r="L40" s="84">
        <v>2</v>
      </c>
      <c r="M40" s="84"/>
      <c r="N40" s="84"/>
      <c r="O40" s="84">
        <v>1</v>
      </c>
      <c r="P40" s="144"/>
      <c r="Q40" s="82"/>
      <c r="R40" s="84">
        <v>2</v>
      </c>
      <c r="S40" s="84"/>
      <c r="T40" s="84"/>
      <c r="U40" s="84">
        <v>1</v>
      </c>
      <c r="V40" s="144"/>
      <c r="W40" s="69"/>
      <c r="X40" s="71">
        <v>0.5</v>
      </c>
      <c r="Y40" s="71"/>
      <c r="Z40" s="71"/>
      <c r="AA40" s="71"/>
      <c r="AB40" s="138"/>
      <c r="AC40" s="69"/>
      <c r="AD40" s="71"/>
      <c r="AE40" s="71"/>
      <c r="AF40" s="71"/>
      <c r="AG40" s="71"/>
      <c r="AH40" s="138"/>
      <c r="AI40" s="69">
        <v>3</v>
      </c>
      <c r="AJ40" s="71">
        <v>0.5</v>
      </c>
      <c r="AK40" s="71"/>
      <c r="AL40" s="71"/>
      <c r="AM40" s="71">
        <v>1</v>
      </c>
      <c r="AN40" s="138"/>
      <c r="AO40" s="69"/>
      <c r="AP40" s="71"/>
      <c r="AQ40" s="71"/>
      <c r="AR40" s="71"/>
      <c r="AS40" s="71"/>
      <c r="AT40" s="138"/>
      <c r="AU40" s="69"/>
      <c r="AV40" s="71">
        <v>1</v>
      </c>
      <c r="AW40" s="71"/>
      <c r="AX40" s="71"/>
      <c r="AY40" s="71"/>
      <c r="AZ40" s="138"/>
      <c r="BA40" s="69"/>
      <c r="BB40" s="71"/>
      <c r="BC40" s="71"/>
      <c r="BD40" s="71"/>
      <c r="BE40" s="71"/>
      <c r="BF40" s="138"/>
      <c r="BG40" s="69"/>
      <c r="BH40" s="71"/>
      <c r="BI40" s="71"/>
      <c r="BJ40" s="71"/>
      <c r="BK40" s="71"/>
      <c r="BL40" s="138"/>
      <c r="BM40" s="69"/>
      <c r="BN40" s="71"/>
      <c r="BO40" s="71">
        <v>4</v>
      </c>
      <c r="BP40" s="71"/>
      <c r="BQ40" s="71">
        <v>1</v>
      </c>
      <c r="BR40" s="138"/>
      <c r="BS40" s="69"/>
      <c r="BT40" s="71"/>
      <c r="BU40" s="71"/>
      <c r="BV40" s="71"/>
      <c r="BW40" s="71">
        <v>2</v>
      </c>
      <c r="BX40" s="138">
        <v>6.9444444444444447E-4</v>
      </c>
      <c r="BZ40" s="139">
        <f t="shared" si="1"/>
        <v>3</v>
      </c>
      <c r="CA40" s="140">
        <f t="shared" si="1"/>
        <v>6</v>
      </c>
      <c r="CB40" s="140">
        <f t="shared" si="1"/>
        <v>4</v>
      </c>
      <c r="CC40" s="140">
        <f t="shared" si="1"/>
        <v>0</v>
      </c>
      <c r="CD40" s="141">
        <f t="shared" si="1"/>
        <v>6</v>
      </c>
      <c r="CE40" s="142">
        <f t="shared" si="1"/>
        <v>6.9444444444444447E-4</v>
      </c>
    </row>
    <row r="41" spans="1:84">
      <c r="A41" s="71">
        <v>37</v>
      </c>
      <c r="B41" s="137" t="s">
        <v>36</v>
      </c>
      <c r="C41" s="64" t="s">
        <v>120</v>
      </c>
      <c r="D41" s="14" t="s">
        <v>121</v>
      </c>
      <c r="E41" s="69">
        <v>2</v>
      </c>
      <c r="F41" s="71"/>
      <c r="G41" s="71"/>
      <c r="H41" s="71"/>
      <c r="I41" s="71">
        <v>1</v>
      </c>
      <c r="J41" s="144"/>
      <c r="K41" s="82"/>
      <c r="L41" s="84">
        <v>0.5</v>
      </c>
      <c r="M41" s="84"/>
      <c r="N41" s="84"/>
      <c r="O41" s="84">
        <v>1</v>
      </c>
      <c r="P41" s="144"/>
      <c r="Q41" s="82"/>
      <c r="R41" s="84"/>
      <c r="S41" s="84"/>
      <c r="T41" s="84">
        <v>0.5</v>
      </c>
      <c r="U41" s="84">
        <v>1</v>
      </c>
      <c r="V41" s="144"/>
      <c r="W41" s="69"/>
      <c r="X41" s="71">
        <v>0.5</v>
      </c>
      <c r="Y41" s="71"/>
      <c r="Z41" s="71">
        <v>1</v>
      </c>
      <c r="AA41" s="71"/>
      <c r="AB41" s="138"/>
      <c r="AC41" s="69">
        <v>3</v>
      </c>
      <c r="AD41" s="71">
        <v>1</v>
      </c>
      <c r="AE41" s="71"/>
      <c r="AF41" s="71"/>
      <c r="AG41" s="71"/>
      <c r="AH41" s="138"/>
      <c r="AI41" s="69"/>
      <c r="AJ41" s="71"/>
      <c r="AK41" s="71"/>
      <c r="AL41" s="71"/>
      <c r="AM41" s="71"/>
      <c r="AN41" s="138"/>
      <c r="AO41" s="69"/>
      <c r="AP41" s="71">
        <v>1</v>
      </c>
      <c r="AQ41" s="71"/>
      <c r="AR41" s="71"/>
      <c r="AS41" s="71"/>
      <c r="AT41" s="138"/>
      <c r="AU41" s="69"/>
      <c r="AV41" s="71">
        <v>1</v>
      </c>
      <c r="AW41" s="71"/>
      <c r="AX41" s="71"/>
      <c r="AY41" s="71"/>
      <c r="AZ41" s="138">
        <v>2.0833333333333333E-3</v>
      </c>
      <c r="BA41" s="69"/>
      <c r="BB41" s="71">
        <v>1</v>
      </c>
      <c r="BC41" s="71"/>
      <c r="BD41" s="71"/>
      <c r="BE41" s="71"/>
      <c r="BF41" s="138"/>
      <c r="BG41" s="69"/>
      <c r="BH41" s="71"/>
      <c r="BI41" s="71"/>
      <c r="BJ41" s="71"/>
      <c r="BK41" s="71"/>
      <c r="BL41" s="138"/>
      <c r="BM41" s="69">
        <v>3</v>
      </c>
      <c r="BN41" s="71"/>
      <c r="BO41" s="71"/>
      <c r="BP41" s="71"/>
      <c r="BQ41" s="71">
        <v>1</v>
      </c>
      <c r="BR41" s="138"/>
      <c r="BS41" s="69"/>
      <c r="BT41" s="71">
        <v>1</v>
      </c>
      <c r="BU41" s="71"/>
      <c r="BV41" s="71"/>
      <c r="BW41" s="71">
        <v>2</v>
      </c>
      <c r="BX41" s="138"/>
      <c r="BZ41" s="139">
        <f t="shared" si="1"/>
        <v>8</v>
      </c>
      <c r="CA41" s="140">
        <f t="shared" si="1"/>
        <v>6</v>
      </c>
      <c r="CB41" s="140">
        <f t="shared" si="1"/>
        <v>0</v>
      </c>
      <c r="CC41" s="140">
        <f t="shared" si="1"/>
        <v>1.5</v>
      </c>
      <c r="CD41" s="141">
        <f t="shared" si="1"/>
        <v>6</v>
      </c>
      <c r="CE41" s="142">
        <f t="shared" si="1"/>
        <v>2.0833333333333333E-3</v>
      </c>
    </row>
    <row r="42" spans="1:84">
      <c r="A42" s="71">
        <v>38</v>
      </c>
      <c r="B42" s="137" t="s">
        <v>36</v>
      </c>
      <c r="C42" s="64" t="s">
        <v>122</v>
      </c>
      <c r="D42" s="14" t="s">
        <v>123</v>
      </c>
      <c r="E42" s="69">
        <v>0.5</v>
      </c>
      <c r="F42" s="71">
        <v>2</v>
      </c>
      <c r="G42" s="71"/>
      <c r="H42" s="71"/>
      <c r="I42" s="71"/>
      <c r="J42" s="138"/>
      <c r="K42" s="82">
        <v>2</v>
      </c>
      <c r="L42" s="84"/>
      <c r="M42" s="84"/>
      <c r="N42" s="84"/>
      <c r="O42" s="84"/>
      <c r="P42" s="138"/>
      <c r="Q42" s="82"/>
      <c r="R42" s="84">
        <v>0.5</v>
      </c>
      <c r="S42" s="84"/>
      <c r="T42" s="84"/>
      <c r="U42" s="71">
        <v>1</v>
      </c>
      <c r="V42" s="138"/>
      <c r="W42" s="69"/>
      <c r="X42" s="71">
        <v>3.5</v>
      </c>
      <c r="Y42" s="71">
        <v>0.5</v>
      </c>
      <c r="Z42" s="71"/>
      <c r="AA42" s="71"/>
      <c r="AB42" s="138"/>
      <c r="AC42" s="69"/>
      <c r="AD42" s="71"/>
      <c r="AE42" s="71">
        <v>1</v>
      </c>
      <c r="AF42" s="71">
        <v>1</v>
      </c>
      <c r="AG42" s="71"/>
      <c r="AH42" s="138"/>
      <c r="AI42" s="69">
        <v>3.5</v>
      </c>
      <c r="AJ42" s="71"/>
      <c r="AK42" s="71"/>
      <c r="AL42" s="71"/>
      <c r="AM42" s="71"/>
      <c r="AN42" s="138"/>
      <c r="AO42" s="69"/>
      <c r="AP42" s="71"/>
      <c r="AQ42" s="71"/>
      <c r="AR42" s="71"/>
      <c r="AS42" s="71">
        <v>1</v>
      </c>
      <c r="AT42" s="138"/>
      <c r="AU42" s="69"/>
      <c r="AV42" s="71"/>
      <c r="AW42" s="71"/>
      <c r="AX42" s="71"/>
      <c r="AY42" s="71"/>
      <c r="AZ42" s="138"/>
      <c r="BA42" s="69">
        <v>1</v>
      </c>
      <c r="BB42" s="71"/>
      <c r="BC42" s="71">
        <v>0.5</v>
      </c>
      <c r="BD42" s="71"/>
      <c r="BE42" s="71"/>
      <c r="BF42" s="138"/>
      <c r="BG42" s="69"/>
      <c r="BH42" s="71"/>
      <c r="BI42" s="71"/>
      <c r="BJ42" s="71"/>
      <c r="BK42" s="71">
        <v>1</v>
      </c>
      <c r="BL42" s="138"/>
      <c r="BM42" s="69">
        <v>1</v>
      </c>
      <c r="BN42" s="71"/>
      <c r="BO42" s="71">
        <v>0.5</v>
      </c>
      <c r="BP42" s="71"/>
      <c r="BQ42" s="71"/>
      <c r="BR42" s="138"/>
      <c r="BS42" s="69"/>
      <c r="BT42" s="71"/>
      <c r="BU42" s="71"/>
      <c r="BV42" s="71">
        <v>1</v>
      </c>
      <c r="BW42" s="71">
        <v>3</v>
      </c>
      <c r="BX42" s="138"/>
      <c r="BZ42" s="139">
        <f t="shared" si="1"/>
        <v>8</v>
      </c>
      <c r="CA42" s="140">
        <f t="shared" si="1"/>
        <v>6</v>
      </c>
      <c r="CB42" s="140">
        <f t="shared" si="1"/>
        <v>2.5</v>
      </c>
      <c r="CC42" s="140">
        <f t="shared" si="1"/>
        <v>2</v>
      </c>
      <c r="CD42" s="141">
        <f t="shared" si="1"/>
        <v>6</v>
      </c>
      <c r="CE42" s="142">
        <f t="shared" si="1"/>
        <v>0</v>
      </c>
    </row>
    <row r="43" spans="1:84">
      <c r="A43" s="71">
        <v>39</v>
      </c>
      <c r="B43" s="137" t="s">
        <v>36</v>
      </c>
      <c r="C43" s="64" t="s">
        <v>124</v>
      </c>
      <c r="D43" s="14" t="s">
        <v>77</v>
      </c>
      <c r="E43" s="69">
        <v>1</v>
      </c>
      <c r="F43" s="71">
        <v>1</v>
      </c>
      <c r="G43" s="71"/>
      <c r="H43" s="71"/>
      <c r="I43" s="71"/>
      <c r="J43" s="138"/>
      <c r="K43" s="69">
        <v>1</v>
      </c>
      <c r="L43" s="71"/>
      <c r="M43" s="71"/>
      <c r="N43" s="71"/>
      <c r="O43" s="71"/>
      <c r="P43" s="138"/>
      <c r="Q43" s="69">
        <v>1</v>
      </c>
      <c r="R43" s="71">
        <v>2</v>
      </c>
      <c r="S43" s="71"/>
      <c r="T43" s="71"/>
      <c r="U43" s="71">
        <v>2</v>
      </c>
      <c r="V43" s="138"/>
      <c r="W43" s="69"/>
      <c r="X43" s="71">
        <v>1</v>
      </c>
      <c r="Y43" s="71"/>
      <c r="Z43" s="71"/>
      <c r="AA43" s="71"/>
      <c r="AB43" s="138"/>
      <c r="AC43" s="69"/>
      <c r="AD43" s="71">
        <v>2</v>
      </c>
      <c r="AE43" s="71"/>
      <c r="AF43" s="71"/>
      <c r="AG43" s="71">
        <v>4</v>
      </c>
      <c r="AH43" s="138"/>
      <c r="AI43" s="69">
        <v>1</v>
      </c>
      <c r="AJ43" s="71"/>
      <c r="AK43" s="71"/>
      <c r="AL43" s="71"/>
      <c r="AM43" s="71"/>
      <c r="AN43" s="138"/>
      <c r="AO43" s="69">
        <v>1</v>
      </c>
      <c r="AP43" s="71"/>
      <c r="AQ43" s="71"/>
      <c r="AR43" s="71">
        <v>1</v>
      </c>
      <c r="AS43" s="71"/>
      <c r="AT43" s="138"/>
      <c r="AU43" s="69">
        <v>0.5</v>
      </c>
      <c r="AV43" s="71"/>
      <c r="AW43" s="71"/>
      <c r="AX43" s="71">
        <v>1</v>
      </c>
      <c r="AY43" s="71"/>
      <c r="AZ43" s="138"/>
      <c r="BA43" s="69">
        <v>5</v>
      </c>
      <c r="BB43" s="71"/>
      <c r="BC43" s="71"/>
      <c r="BD43" s="71"/>
      <c r="BE43" s="71"/>
      <c r="BF43" s="138"/>
      <c r="BG43" s="69">
        <v>1</v>
      </c>
      <c r="BH43" s="71"/>
      <c r="BI43" s="71"/>
      <c r="BJ43" s="71">
        <v>1</v>
      </c>
      <c r="BK43" s="71"/>
      <c r="BL43" s="138"/>
      <c r="BM43" s="69">
        <v>3</v>
      </c>
      <c r="BN43" s="71"/>
      <c r="BO43" s="71"/>
      <c r="BP43" s="71"/>
      <c r="BQ43" s="71"/>
      <c r="BR43" s="138"/>
      <c r="BS43" s="69"/>
      <c r="BT43" s="71"/>
      <c r="BU43" s="71"/>
      <c r="BV43" s="71"/>
      <c r="BW43" s="71"/>
      <c r="BX43" s="138"/>
      <c r="BZ43" s="139">
        <f t="shared" si="1"/>
        <v>14.5</v>
      </c>
      <c r="CA43" s="140">
        <f t="shared" si="1"/>
        <v>6</v>
      </c>
      <c r="CB43" s="140">
        <f t="shared" si="1"/>
        <v>0</v>
      </c>
      <c r="CC43" s="140">
        <f t="shared" si="1"/>
        <v>3</v>
      </c>
      <c r="CD43" s="141">
        <f t="shared" si="1"/>
        <v>6</v>
      </c>
      <c r="CE43" s="142">
        <f t="shared" si="1"/>
        <v>0</v>
      </c>
    </row>
    <row r="44" spans="1:84">
      <c r="A44" s="71">
        <v>40</v>
      </c>
      <c r="B44" s="137" t="s">
        <v>36</v>
      </c>
      <c r="C44" s="74" t="s">
        <v>37</v>
      </c>
      <c r="D44" s="107" t="s">
        <v>55</v>
      </c>
      <c r="E44" s="69"/>
      <c r="F44" s="71"/>
      <c r="G44" s="71"/>
      <c r="H44" s="71"/>
      <c r="I44" s="71"/>
      <c r="J44" s="138"/>
      <c r="K44" s="69"/>
      <c r="L44" s="71">
        <v>1</v>
      </c>
      <c r="M44" s="71"/>
      <c r="N44" s="71"/>
      <c r="O44" s="71"/>
      <c r="P44" s="138"/>
      <c r="Q44" s="69"/>
      <c r="R44" s="71">
        <v>0.5</v>
      </c>
      <c r="S44" s="71"/>
      <c r="T44" s="71"/>
      <c r="U44" s="71"/>
      <c r="V44" s="138">
        <v>1.3888888888888889E-3</v>
      </c>
      <c r="W44" s="69"/>
      <c r="X44" s="71">
        <v>1</v>
      </c>
      <c r="Y44" s="71"/>
      <c r="Z44" s="71"/>
      <c r="AA44" s="71">
        <v>1</v>
      </c>
      <c r="AB44" s="138"/>
      <c r="AC44" s="69"/>
      <c r="AD44" s="71"/>
      <c r="AE44" s="71"/>
      <c r="AF44" s="71"/>
      <c r="AG44" s="71"/>
      <c r="AH44" s="138"/>
      <c r="AI44" s="69">
        <v>3</v>
      </c>
      <c r="AJ44" s="71"/>
      <c r="AK44" s="71"/>
      <c r="AL44" s="71"/>
      <c r="AM44" s="71">
        <v>1</v>
      </c>
      <c r="AN44" s="138"/>
      <c r="AO44" s="69">
        <v>1</v>
      </c>
      <c r="AP44" s="71"/>
      <c r="AQ44" s="71"/>
      <c r="AR44" s="71"/>
      <c r="AS44" s="71">
        <v>2</v>
      </c>
      <c r="AT44" s="138"/>
      <c r="AU44" s="69"/>
      <c r="AV44" s="71">
        <v>1</v>
      </c>
      <c r="AW44" s="71"/>
      <c r="AX44" s="71"/>
      <c r="AY44" s="71"/>
      <c r="AZ44" s="138"/>
      <c r="BA44" s="69"/>
      <c r="BB44" s="71">
        <v>1</v>
      </c>
      <c r="BC44" s="71"/>
      <c r="BD44" s="71"/>
      <c r="BE44" s="71"/>
      <c r="BF44" s="138">
        <v>6.9444444444444447E-4</v>
      </c>
      <c r="BG44" s="69">
        <v>1</v>
      </c>
      <c r="BH44" s="71"/>
      <c r="BI44" s="71"/>
      <c r="BJ44" s="71"/>
      <c r="BK44" s="71">
        <v>1</v>
      </c>
      <c r="BL44" s="138">
        <v>6.9444444444444447E-4</v>
      </c>
      <c r="BM44" s="69"/>
      <c r="BN44" s="71">
        <v>1</v>
      </c>
      <c r="BO44" s="71"/>
      <c r="BP44" s="71"/>
      <c r="BQ44" s="71"/>
      <c r="BR44" s="138">
        <v>2.0833333333333333E-3</v>
      </c>
      <c r="BS44" s="69"/>
      <c r="BT44" s="71">
        <v>0.5</v>
      </c>
      <c r="BU44" s="71">
        <v>0.5</v>
      </c>
      <c r="BV44" s="71"/>
      <c r="BW44" s="71">
        <v>1</v>
      </c>
      <c r="BX44" s="138"/>
      <c r="BZ44" s="139">
        <f t="shared" si="1"/>
        <v>5</v>
      </c>
      <c r="CA44" s="140">
        <f t="shared" si="1"/>
        <v>6</v>
      </c>
      <c r="CB44" s="140">
        <f t="shared" si="1"/>
        <v>0.5</v>
      </c>
      <c r="CC44" s="140">
        <f t="shared" si="1"/>
        <v>0</v>
      </c>
      <c r="CD44" s="141">
        <f t="shared" si="1"/>
        <v>6</v>
      </c>
      <c r="CE44" s="142">
        <f t="shared" si="1"/>
        <v>4.8611111111111112E-3</v>
      </c>
    </row>
    <row r="45" spans="1:84">
      <c r="A45" s="71">
        <v>41</v>
      </c>
      <c r="B45" s="137" t="s">
        <v>26</v>
      </c>
      <c r="C45" s="74" t="s">
        <v>127</v>
      </c>
      <c r="D45" s="107" t="s">
        <v>61</v>
      </c>
      <c r="E45" s="69"/>
      <c r="F45" s="71"/>
      <c r="G45" s="71"/>
      <c r="H45" s="71"/>
      <c r="I45" s="71">
        <v>1</v>
      </c>
      <c r="J45" s="138"/>
      <c r="K45" s="69">
        <v>1</v>
      </c>
      <c r="L45" s="71">
        <v>1</v>
      </c>
      <c r="M45" s="71"/>
      <c r="N45" s="71"/>
      <c r="O45" s="71"/>
      <c r="P45" s="138"/>
      <c r="Q45" s="69"/>
      <c r="R45" s="71"/>
      <c r="S45" s="71"/>
      <c r="T45" s="71"/>
      <c r="U45" s="71"/>
      <c r="V45" s="138"/>
      <c r="W45" s="69">
        <v>1</v>
      </c>
      <c r="X45" s="71"/>
      <c r="Y45" s="71"/>
      <c r="Z45" s="71"/>
      <c r="AA45" s="71">
        <v>1</v>
      </c>
      <c r="AB45" s="138"/>
      <c r="AC45" s="69"/>
      <c r="AD45" s="71"/>
      <c r="AE45" s="71"/>
      <c r="AF45" s="71"/>
      <c r="AG45" s="71"/>
      <c r="AH45" s="138"/>
      <c r="AI45" s="69">
        <v>1</v>
      </c>
      <c r="AJ45" s="71">
        <v>4</v>
      </c>
      <c r="AK45" s="71"/>
      <c r="AL45" s="71"/>
      <c r="AM45" s="71"/>
      <c r="AN45" s="138"/>
      <c r="AO45" s="69"/>
      <c r="AP45" s="71"/>
      <c r="AQ45" s="71"/>
      <c r="AR45" s="71"/>
      <c r="AS45" s="71"/>
      <c r="AT45" s="138"/>
      <c r="AU45" s="69">
        <v>1</v>
      </c>
      <c r="AV45" s="71"/>
      <c r="AW45" s="71"/>
      <c r="AX45" s="71"/>
      <c r="AY45" s="71"/>
      <c r="AZ45" s="138"/>
      <c r="BA45" s="69"/>
      <c r="BB45" s="71"/>
      <c r="BC45" s="71"/>
      <c r="BD45" s="71"/>
      <c r="BE45" s="71"/>
      <c r="BF45" s="138"/>
      <c r="BG45" s="69"/>
      <c r="BH45" s="71"/>
      <c r="BI45" s="71"/>
      <c r="BJ45" s="71"/>
      <c r="BK45" s="71"/>
      <c r="BL45" s="138"/>
      <c r="BM45" s="69"/>
      <c r="BN45" s="71"/>
      <c r="BO45" s="71"/>
      <c r="BP45" s="71"/>
      <c r="BQ45" s="71"/>
      <c r="BR45" s="138"/>
      <c r="BS45" s="69">
        <v>4</v>
      </c>
      <c r="BT45" s="71">
        <v>1</v>
      </c>
      <c r="BU45" s="71">
        <v>0.5</v>
      </c>
      <c r="BV45" s="71"/>
      <c r="BW45" s="71"/>
      <c r="BX45" s="138"/>
      <c r="BZ45" s="139">
        <f t="shared" si="1"/>
        <v>8</v>
      </c>
      <c r="CA45" s="140">
        <f t="shared" si="1"/>
        <v>6</v>
      </c>
      <c r="CB45" s="140">
        <f t="shared" si="1"/>
        <v>0.5</v>
      </c>
      <c r="CC45" s="140">
        <f t="shared" si="1"/>
        <v>0</v>
      </c>
      <c r="CD45" s="141">
        <f t="shared" si="1"/>
        <v>2</v>
      </c>
      <c r="CE45" s="142">
        <f t="shared" si="1"/>
        <v>0</v>
      </c>
    </row>
    <row r="46" spans="1:84">
      <c r="A46" s="71">
        <v>42</v>
      </c>
      <c r="B46" s="137" t="s">
        <v>30</v>
      </c>
      <c r="C46" s="74" t="s">
        <v>128</v>
      </c>
      <c r="D46" s="107" t="s">
        <v>64</v>
      </c>
      <c r="E46" s="69">
        <v>1</v>
      </c>
      <c r="F46" s="71">
        <v>1</v>
      </c>
      <c r="G46" s="71"/>
      <c r="H46" s="71"/>
      <c r="I46" s="71"/>
      <c r="J46" s="138"/>
      <c r="K46" s="69">
        <v>1.5</v>
      </c>
      <c r="L46" s="71"/>
      <c r="M46" s="71"/>
      <c r="N46" s="71"/>
      <c r="O46" s="71">
        <v>2</v>
      </c>
      <c r="P46" s="138"/>
      <c r="Q46" s="69">
        <v>1</v>
      </c>
      <c r="R46" s="71"/>
      <c r="S46" s="71"/>
      <c r="T46" s="71"/>
      <c r="U46" s="71"/>
      <c r="V46" s="138"/>
      <c r="W46" s="69">
        <v>1</v>
      </c>
      <c r="X46" s="71"/>
      <c r="Y46" s="71"/>
      <c r="Z46" s="71"/>
      <c r="AA46" s="71"/>
      <c r="AB46" s="138"/>
      <c r="AC46" s="69"/>
      <c r="AD46" s="71">
        <v>1</v>
      </c>
      <c r="AE46" s="71"/>
      <c r="AF46" s="71"/>
      <c r="AG46" s="71"/>
      <c r="AH46" s="138"/>
      <c r="AI46" s="69">
        <v>5</v>
      </c>
      <c r="AJ46" s="71"/>
      <c r="AK46" s="71"/>
      <c r="AL46" s="71"/>
      <c r="AM46" s="71">
        <v>1</v>
      </c>
      <c r="AN46" s="138"/>
      <c r="AO46" s="69">
        <v>2</v>
      </c>
      <c r="AP46" s="71"/>
      <c r="AQ46" s="71"/>
      <c r="AR46" s="71"/>
      <c r="AS46" s="71"/>
      <c r="AT46" s="138"/>
      <c r="AU46" s="69"/>
      <c r="AV46" s="71">
        <v>1</v>
      </c>
      <c r="AW46" s="71"/>
      <c r="AX46" s="71"/>
      <c r="AY46" s="71"/>
      <c r="AZ46" s="138"/>
      <c r="BA46" s="69">
        <v>1</v>
      </c>
      <c r="BB46" s="71">
        <v>1</v>
      </c>
      <c r="BC46" s="71"/>
      <c r="BD46" s="71"/>
      <c r="BE46" s="71">
        <v>2</v>
      </c>
      <c r="BF46" s="138"/>
      <c r="BG46" s="69">
        <v>1</v>
      </c>
      <c r="BH46" s="71"/>
      <c r="BI46" s="71"/>
      <c r="BJ46" s="71"/>
      <c r="BK46" s="71"/>
      <c r="BL46" s="138"/>
      <c r="BM46" s="69">
        <v>2</v>
      </c>
      <c r="BN46" s="71"/>
      <c r="BO46" s="71"/>
      <c r="BP46" s="71"/>
      <c r="BQ46" s="71"/>
      <c r="BR46" s="138"/>
      <c r="BS46" s="69">
        <v>2</v>
      </c>
      <c r="BT46" s="71">
        <v>2</v>
      </c>
      <c r="BU46" s="71">
        <v>1</v>
      </c>
      <c r="BV46" s="71"/>
      <c r="BW46" s="71">
        <v>1</v>
      </c>
      <c r="BX46" s="138"/>
      <c r="BZ46" s="139">
        <f t="shared" si="1"/>
        <v>17.5</v>
      </c>
      <c r="CA46" s="140">
        <f t="shared" si="1"/>
        <v>6</v>
      </c>
      <c r="CB46" s="140">
        <f t="shared" si="1"/>
        <v>1</v>
      </c>
      <c r="CC46" s="140">
        <f t="shared" si="1"/>
        <v>0</v>
      </c>
      <c r="CD46" s="141">
        <f t="shared" si="1"/>
        <v>6</v>
      </c>
      <c r="CE46" s="142">
        <f t="shared" si="1"/>
        <v>0</v>
      </c>
    </row>
    <row r="47" spans="1:84">
      <c r="A47" s="71">
        <v>43</v>
      </c>
      <c r="B47" s="137" t="s">
        <v>26</v>
      </c>
      <c r="C47" s="64" t="s">
        <v>129</v>
      </c>
      <c r="D47" s="14" t="s">
        <v>71</v>
      </c>
      <c r="E47" s="69"/>
      <c r="F47" s="71">
        <v>1</v>
      </c>
      <c r="G47" s="71"/>
      <c r="H47" s="71"/>
      <c r="I47" s="71"/>
      <c r="J47" s="138"/>
      <c r="K47" s="69"/>
      <c r="L47" s="71"/>
      <c r="M47" s="71"/>
      <c r="N47" s="71"/>
      <c r="O47" s="71"/>
      <c r="P47" s="138"/>
      <c r="Q47" s="69"/>
      <c r="R47" s="71"/>
      <c r="S47" s="71"/>
      <c r="T47" s="71"/>
      <c r="U47" s="71"/>
      <c r="V47" s="138"/>
      <c r="W47" s="69"/>
      <c r="X47" s="71"/>
      <c r="Y47" s="71"/>
      <c r="Z47" s="71"/>
      <c r="AA47" s="71"/>
      <c r="AB47" s="138"/>
      <c r="AC47" s="69"/>
      <c r="AD47" s="71"/>
      <c r="AE47" s="71"/>
      <c r="AF47" s="71"/>
      <c r="AG47" s="71"/>
      <c r="AH47" s="138"/>
      <c r="AI47" s="69"/>
      <c r="AJ47" s="71"/>
      <c r="AK47" s="71"/>
      <c r="AL47" s="71"/>
      <c r="AM47" s="71"/>
      <c r="AN47" s="138"/>
      <c r="AO47" s="69"/>
      <c r="AP47" s="71"/>
      <c r="AQ47" s="71"/>
      <c r="AR47" s="71"/>
      <c r="AS47" s="71"/>
      <c r="AT47" s="138"/>
      <c r="AU47" s="69"/>
      <c r="AV47" s="71">
        <v>2</v>
      </c>
      <c r="AW47" s="71"/>
      <c r="AX47" s="71"/>
      <c r="AY47" s="71"/>
      <c r="AZ47" s="138"/>
      <c r="BA47" s="69"/>
      <c r="BB47" s="71"/>
      <c r="BC47" s="71"/>
      <c r="BD47" s="71"/>
      <c r="BE47" s="71"/>
      <c r="BF47" s="138"/>
      <c r="BG47" s="69"/>
      <c r="BH47" s="71"/>
      <c r="BI47" s="71"/>
      <c r="BJ47" s="71"/>
      <c r="BK47" s="71"/>
      <c r="BL47" s="138"/>
      <c r="BM47" s="69"/>
      <c r="BN47" s="71"/>
      <c r="BO47" s="71"/>
      <c r="BP47" s="71"/>
      <c r="BQ47" s="71"/>
      <c r="BR47" s="138"/>
      <c r="BS47" s="69"/>
      <c r="BT47" s="71"/>
      <c r="BU47" s="71"/>
      <c r="BV47" s="71"/>
      <c r="BW47" s="71"/>
      <c r="BX47" s="138"/>
      <c r="BZ47" s="139">
        <f t="shared" si="1"/>
        <v>0</v>
      </c>
      <c r="CA47" s="140">
        <f t="shared" si="1"/>
        <v>3</v>
      </c>
      <c r="CB47" s="140">
        <f t="shared" si="1"/>
        <v>0</v>
      </c>
      <c r="CC47" s="140">
        <f t="shared" si="1"/>
        <v>0</v>
      </c>
      <c r="CD47" s="141">
        <f t="shared" si="1"/>
        <v>0</v>
      </c>
      <c r="CE47" s="142">
        <f t="shared" si="1"/>
        <v>0</v>
      </c>
    </row>
    <row r="48" spans="1:84" ht="21" customHeight="1">
      <c r="A48" s="71">
        <v>44</v>
      </c>
      <c r="B48" s="137" t="s">
        <v>26</v>
      </c>
      <c r="C48" s="64" t="s">
        <v>130</v>
      </c>
      <c r="D48" s="14" t="s">
        <v>61</v>
      </c>
      <c r="E48" s="69"/>
      <c r="F48" s="71">
        <v>0.5</v>
      </c>
      <c r="G48" s="71"/>
      <c r="H48" s="71"/>
      <c r="I48" s="71"/>
      <c r="J48" s="138"/>
      <c r="K48" s="69"/>
      <c r="L48" s="71"/>
      <c r="M48" s="71"/>
      <c r="N48" s="71"/>
      <c r="O48" s="71"/>
      <c r="P48" s="138"/>
      <c r="Q48" s="69"/>
      <c r="R48" s="71">
        <v>1</v>
      </c>
      <c r="S48" s="71"/>
      <c r="T48" s="71"/>
      <c r="U48" s="71"/>
      <c r="V48" s="138"/>
      <c r="W48" s="69"/>
      <c r="X48" s="71">
        <v>1</v>
      </c>
      <c r="Y48" s="71"/>
      <c r="Z48" s="71"/>
      <c r="AA48" s="71"/>
      <c r="AB48" s="138"/>
      <c r="AC48" s="69"/>
      <c r="AD48" s="71">
        <v>3</v>
      </c>
      <c r="AE48" s="71"/>
      <c r="AF48" s="71"/>
      <c r="AG48" s="71"/>
      <c r="AH48" s="138"/>
      <c r="AI48" s="69"/>
      <c r="AJ48" s="71"/>
      <c r="AK48" s="71"/>
      <c r="AL48" s="71"/>
      <c r="AM48" s="71"/>
      <c r="AN48" s="138"/>
      <c r="AO48" s="69"/>
      <c r="AP48" s="71"/>
      <c r="AQ48" s="71"/>
      <c r="AR48" s="71"/>
      <c r="AS48" s="71"/>
      <c r="AT48" s="138"/>
      <c r="AU48" s="69"/>
      <c r="AV48" s="71"/>
      <c r="AW48" s="71"/>
      <c r="AX48" s="71"/>
      <c r="AY48" s="71"/>
      <c r="AZ48" s="138"/>
      <c r="BA48" s="69"/>
      <c r="BB48" s="71"/>
      <c r="BC48" s="71"/>
      <c r="BD48" s="71"/>
      <c r="BE48" s="71"/>
      <c r="BF48" s="138"/>
      <c r="BG48" s="69"/>
      <c r="BH48" s="71">
        <v>0.5</v>
      </c>
      <c r="BI48" s="71">
        <v>0.5</v>
      </c>
      <c r="BJ48" s="71">
        <v>0.5</v>
      </c>
      <c r="BK48" s="71"/>
      <c r="BL48" s="138"/>
      <c r="BM48" s="69"/>
      <c r="BN48" s="71"/>
      <c r="BO48" s="71"/>
      <c r="BP48" s="71"/>
      <c r="BQ48" s="71"/>
      <c r="BR48" s="138"/>
      <c r="BS48" s="69"/>
      <c r="BT48" s="71"/>
      <c r="BU48" s="71"/>
      <c r="BV48" s="71"/>
      <c r="BW48" s="71"/>
      <c r="BX48" s="138"/>
      <c r="BZ48" s="139">
        <f t="shared" si="1"/>
        <v>0</v>
      </c>
      <c r="CA48" s="140">
        <f t="shared" si="1"/>
        <v>6</v>
      </c>
      <c r="CB48" s="140">
        <f t="shared" si="1"/>
        <v>0.5</v>
      </c>
      <c r="CC48" s="140">
        <f t="shared" si="1"/>
        <v>0.5</v>
      </c>
      <c r="CD48" s="141">
        <f t="shared" si="1"/>
        <v>0</v>
      </c>
      <c r="CE48" s="142">
        <f t="shared" si="1"/>
        <v>0</v>
      </c>
      <c r="CF48" s="215"/>
    </row>
    <row r="49" spans="1:86">
      <c r="A49" s="71">
        <v>45</v>
      </c>
      <c r="B49" s="137" t="s">
        <v>26</v>
      </c>
      <c r="C49" s="216" t="s">
        <v>131</v>
      </c>
      <c r="D49" s="14" t="s">
        <v>132</v>
      </c>
      <c r="E49" s="69"/>
      <c r="F49" s="71">
        <v>1</v>
      </c>
      <c r="G49" s="71"/>
      <c r="H49" s="71"/>
      <c r="I49" s="71"/>
      <c r="J49" s="138"/>
      <c r="K49" s="69"/>
      <c r="L49" s="71"/>
      <c r="M49" s="71"/>
      <c r="N49" s="71"/>
      <c r="O49" s="71"/>
      <c r="P49" s="138"/>
      <c r="Q49" s="69">
        <v>2</v>
      </c>
      <c r="R49" s="71"/>
      <c r="S49" s="71"/>
      <c r="T49" s="71"/>
      <c r="U49" s="71"/>
      <c r="V49" s="138"/>
      <c r="W49" s="69">
        <v>1</v>
      </c>
      <c r="X49" s="71"/>
      <c r="Y49" s="71"/>
      <c r="Z49" s="71"/>
      <c r="AA49" s="71"/>
      <c r="AB49" s="138"/>
      <c r="AC49" s="95">
        <v>1</v>
      </c>
      <c r="AD49" s="71"/>
      <c r="AE49" s="71"/>
      <c r="AF49" s="71"/>
      <c r="AG49" s="71"/>
      <c r="AH49" s="138"/>
      <c r="AI49" s="69">
        <v>1</v>
      </c>
      <c r="AJ49" s="71"/>
      <c r="AK49" s="71"/>
      <c r="AL49" s="71"/>
      <c r="AM49" s="71"/>
      <c r="AN49" s="138"/>
      <c r="AO49" s="69"/>
      <c r="AP49" s="71"/>
      <c r="AQ49" s="71"/>
      <c r="AR49" s="71"/>
      <c r="AS49" s="71"/>
      <c r="AT49" s="138"/>
      <c r="AU49" s="69"/>
      <c r="AV49" s="71">
        <v>0.5</v>
      </c>
      <c r="AW49" s="71"/>
      <c r="AX49" s="71"/>
      <c r="AY49" s="71"/>
      <c r="AZ49" s="138"/>
      <c r="BA49" s="69">
        <v>1</v>
      </c>
      <c r="BB49" s="71"/>
      <c r="BC49" s="71"/>
      <c r="BD49" s="71"/>
      <c r="BE49" s="71"/>
      <c r="BF49" s="138"/>
      <c r="BG49" s="69">
        <v>1</v>
      </c>
      <c r="BH49" s="71">
        <v>1</v>
      </c>
      <c r="BI49" s="71"/>
      <c r="BJ49" s="71"/>
      <c r="BK49" s="71"/>
      <c r="BL49" s="138"/>
      <c r="BM49" s="69"/>
      <c r="BN49" s="71">
        <v>1.5</v>
      </c>
      <c r="BO49" s="71"/>
      <c r="BP49" s="71"/>
      <c r="BQ49" s="71"/>
      <c r="BR49" s="138"/>
      <c r="BS49" s="69"/>
      <c r="BT49" s="71"/>
      <c r="BU49" s="71"/>
      <c r="BV49" s="71"/>
      <c r="BW49" s="71"/>
      <c r="BX49" s="138"/>
      <c r="BZ49" s="139">
        <f t="shared" si="1"/>
        <v>7</v>
      </c>
      <c r="CA49" s="140">
        <f t="shared" si="1"/>
        <v>4</v>
      </c>
      <c r="CB49" s="140">
        <f t="shared" si="1"/>
        <v>0</v>
      </c>
      <c r="CC49" s="140">
        <f t="shared" si="1"/>
        <v>0</v>
      </c>
      <c r="CD49" s="141">
        <f t="shared" si="1"/>
        <v>0</v>
      </c>
      <c r="CE49" s="142">
        <f t="shared" si="1"/>
        <v>0</v>
      </c>
    </row>
    <row r="50" spans="1:86" ht="21" customHeight="1">
      <c r="A50" s="71">
        <v>46</v>
      </c>
      <c r="B50" s="137" t="s">
        <v>30</v>
      </c>
      <c r="C50" s="74" t="s">
        <v>133</v>
      </c>
      <c r="D50" s="107" t="s">
        <v>134</v>
      </c>
      <c r="E50" s="69"/>
      <c r="F50" s="71">
        <v>1.5</v>
      </c>
      <c r="G50" s="71"/>
      <c r="H50" s="71">
        <v>0.5</v>
      </c>
      <c r="I50" s="71">
        <v>1</v>
      </c>
      <c r="J50" s="138"/>
      <c r="K50" s="69">
        <v>0.5</v>
      </c>
      <c r="L50" s="71">
        <v>1</v>
      </c>
      <c r="M50" s="71"/>
      <c r="N50" s="71"/>
      <c r="O50" s="71">
        <v>1</v>
      </c>
      <c r="P50" s="138"/>
      <c r="Q50" s="69">
        <v>2</v>
      </c>
      <c r="R50" s="71">
        <v>3.5</v>
      </c>
      <c r="S50" s="71"/>
      <c r="T50" s="71">
        <v>0.5</v>
      </c>
      <c r="U50" s="71">
        <v>2</v>
      </c>
      <c r="V50" s="138">
        <v>6.9444444444444447E-4</v>
      </c>
      <c r="W50" s="69"/>
      <c r="X50" s="71"/>
      <c r="Y50" s="71"/>
      <c r="Z50" s="71">
        <v>0.5</v>
      </c>
      <c r="AA50" s="71"/>
      <c r="AB50" s="138"/>
      <c r="AC50" s="95">
        <v>1</v>
      </c>
      <c r="AD50" s="71"/>
      <c r="AE50" s="71"/>
      <c r="AF50" s="71"/>
      <c r="AG50" s="71">
        <v>1</v>
      </c>
      <c r="AH50" s="138"/>
      <c r="AI50" s="69">
        <v>2</v>
      </c>
      <c r="AJ50" s="71"/>
      <c r="AK50" s="71"/>
      <c r="AL50" s="71">
        <v>0.5</v>
      </c>
      <c r="AM50" s="71">
        <v>1</v>
      </c>
      <c r="AN50" s="138"/>
      <c r="AO50" s="69">
        <v>2</v>
      </c>
      <c r="AP50" s="71"/>
      <c r="AQ50" s="71"/>
      <c r="AR50" s="71">
        <v>1</v>
      </c>
      <c r="AS50" s="71"/>
      <c r="AT50" s="138"/>
      <c r="AU50" s="69">
        <v>1</v>
      </c>
      <c r="AV50" s="71"/>
      <c r="AW50" s="71"/>
      <c r="AX50" s="71">
        <v>1</v>
      </c>
      <c r="AY50" s="71"/>
      <c r="AZ50" s="138"/>
      <c r="BA50" s="69"/>
      <c r="BB50" s="71"/>
      <c r="BC50" s="71"/>
      <c r="BD50" s="71"/>
      <c r="BE50" s="71"/>
      <c r="BF50" s="138"/>
      <c r="BG50" s="69">
        <v>7</v>
      </c>
      <c r="BH50" s="71"/>
      <c r="BI50" s="71">
        <v>1</v>
      </c>
      <c r="BJ50" s="71"/>
      <c r="BK50" s="71"/>
      <c r="BL50" s="138"/>
      <c r="BM50" s="69">
        <v>12</v>
      </c>
      <c r="BN50" s="71"/>
      <c r="BO50" s="71"/>
      <c r="BP50" s="71">
        <v>0.5</v>
      </c>
      <c r="BQ50" s="71"/>
      <c r="BR50" s="138"/>
      <c r="BS50" s="69"/>
      <c r="BT50" s="71"/>
      <c r="BU50" s="71"/>
      <c r="BV50" s="71"/>
      <c r="BW50" s="71"/>
      <c r="BX50" s="138"/>
      <c r="BZ50" s="139">
        <f t="shared" ref="BZ50:CE90" si="2">+E50+K50+Q50+W50+AC50+AI50+AO50+AU50+BA50+BG50+BM50+BS50</f>
        <v>27.5</v>
      </c>
      <c r="CA50" s="140">
        <f t="shared" si="2"/>
        <v>6</v>
      </c>
      <c r="CB50" s="140">
        <f t="shared" si="2"/>
        <v>1</v>
      </c>
      <c r="CC50" s="140">
        <f t="shared" si="2"/>
        <v>4.5</v>
      </c>
      <c r="CD50" s="141">
        <f t="shared" si="2"/>
        <v>6</v>
      </c>
      <c r="CE50" s="142">
        <f t="shared" si="2"/>
        <v>6.9444444444444447E-4</v>
      </c>
      <c r="CF50" s="215"/>
    </row>
    <row r="51" spans="1:86" ht="21" customHeight="1">
      <c r="A51" s="71">
        <v>47</v>
      </c>
      <c r="B51" s="137" t="s">
        <v>30</v>
      </c>
      <c r="C51" s="64" t="s">
        <v>183</v>
      </c>
      <c r="D51" s="14" t="s">
        <v>184</v>
      </c>
      <c r="E51" s="69"/>
      <c r="F51" s="71"/>
      <c r="G51" s="71"/>
      <c r="H51" s="71"/>
      <c r="I51" s="71"/>
      <c r="J51" s="138"/>
      <c r="K51" s="69"/>
      <c r="L51" s="71"/>
      <c r="M51" s="71"/>
      <c r="N51" s="71"/>
      <c r="O51" s="71"/>
      <c r="P51" s="138"/>
      <c r="Q51" s="69"/>
      <c r="R51" s="71"/>
      <c r="S51" s="71"/>
      <c r="T51" s="71"/>
      <c r="U51" s="71"/>
      <c r="V51" s="138"/>
      <c r="W51" s="69"/>
      <c r="X51" s="71"/>
      <c r="Y51" s="71"/>
      <c r="Z51" s="71"/>
      <c r="AA51" s="71"/>
      <c r="AB51" s="138"/>
      <c r="AC51" s="95"/>
      <c r="AD51" s="71"/>
      <c r="AE51" s="71"/>
      <c r="AF51" s="71"/>
      <c r="AG51" s="71"/>
      <c r="AH51" s="138"/>
      <c r="AI51" s="69">
        <v>2</v>
      </c>
      <c r="AJ51" s="71">
        <v>1</v>
      </c>
      <c r="AK51" s="71"/>
      <c r="AL51" s="71"/>
      <c r="AM51" s="71"/>
      <c r="AN51" s="138"/>
      <c r="AO51" s="69"/>
      <c r="AP51" s="71"/>
      <c r="AQ51" s="71"/>
      <c r="AR51" s="71"/>
      <c r="AS51" s="71"/>
      <c r="AT51" s="138"/>
      <c r="AU51" s="69"/>
      <c r="AV51" s="71"/>
      <c r="AW51" s="71"/>
      <c r="AX51" s="71"/>
      <c r="AY51" s="71"/>
      <c r="AZ51" s="138"/>
      <c r="BA51" s="69"/>
      <c r="BB51" s="71"/>
      <c r="BC51" s="71"/>
      <c r="BD51" s="71"/>
      <c r="BE51" s="71"/>
      <c r="BF51" s="138"/>
      <c r="BG51" s="69"/>
      <c r="BH51" s="71">
        <v>1</v>
      </c>
      <c r="BI51" s="71"/>
      <c r="BJ51" s="71"/>
      <c r="BK51" s="71"/>
      <c r="BL51" s="138"/>
      <c r="BM51" s="69"/>
      <c r="BN51" s="71">
        <v>1</v>
      </c>
      <c r="BO51" s="71"/>
      <c r="BP51" s="71"/>
      <c r="BQ51" s="71"/>
      <c r="BR51" s="138"/>
      <c r="BS51" s="69"/>
      <c r="BT51" s="71"/>
      <c r="BU51" s="71"/>
      <c r="BV51" s="71"/>
      <c r="BW51" s="71"/>
      <c r="BX51" s="138"/>
      <c r="BZ51" s="139">
        <f t="shared" si="2"/>
        <v>2</v>
      </c>
      <c r="CA51" s="140">
        <f t="shared" si="2"/>
        <v>3</v>
      </c>
      <c r="CB51" s="140">
        <f t="shared" si="2"/>
        <v>0</v>
      </c>
      <c r="CC51" s="140">
        <f t="shared" si="2"/>
        <v>0</v>
      </c>
      <c r="CD51" s="141">
        <f t="shared" si="2"/>
        <v>0</v>
      </c>
      <c r="CE51" s="142">
        <f t="shared" si="2"/>
        <v>0</v>
      </c>
      <c r="CF51" s="215"/>
    </row>
    <row r="52" spans="1:86">
      <c r="A52" s="71">
        <v>48</v>
      </c>
      <c r="B52" s="137" t="s">
        <v>26</v>
      </c>
      <c r="C52" s="64" t="s">
        <v>135</v>
      </c>
      <c r="D52" s="14" t="s">
        <v>136</v>
      </c>
      <c r="E52" s="69"/>
      <c r="F52" s="71">
        <v>1.5</v>
      </c>
      <c r="G52" s="71"/>
      <c r="H52" s="71"/>
      <c r="I52" s="71"/>
      <c r="J52" s="138">
        <v>6.9444444444444447E-4</v>
      </c>
      <c r="K52" s="69">
        <v>1</v>
      </c>
      <c r="L52" s="71">
        <v>1</v>
      </c>
      <c r="M52" s="71"/>
      <c r="N52" s="71"/>
      <c r="O52" s="71"/>
      <c r="P52" s="138">
        <v>2.7777777777777779E-3</v>
      </c>
      <c r="Q52" s="69">
        <v>4</v>
      </c>
      <c r="R52" s="71"/>
      <c r="S52" s="71"/>
      <c r="T52" s="71"/>
      <c r="U52" s="71"/>
      <c r="V52" s="138"/>
      <c r="W52" s="69">
        <v>1</v>
      </c>
      <c r="X52" s="71"/>
      <c r="Y52" s="71"/>
      <c r="Z52" s="71"/>
      <c r="AA52" s="71"/>
      <c r="AB52" s="138">
        <v>2.7777777777777779E-3</v>
      </c>
      <c r="AC52" s="95">
        <v>1</v>
      </c>
      <c r="AD52" s="71"/>
      <c r="AE52" s="71"/>
      <c r="AF52" s="71"/>
      <c r="AG52" s="71"/>
      <c r="AH52" s="138"/>
      <c r="AI52" s="95"/>
      <c r="AJ52" s="71">
        <v>1</v>
      </c>
      <c r="AK52" s="71"/>
      <c r="AL52" s="71"/>
      <c r="AM52" s="71"/>
      <c r="AN52" s="138"/>
      <c r="AO52" s="69"/>
      <c r="AP52" s="71"/>
      <c r="AQ52" s="71"/>
      <c r="AR52" s="71"/>
      <c r="AS52" s="71"/>
      <c r="AT52" s="138"/>
      <c r="AU52" s="69"/>
      <c r="AV52" s="71">
        <v>2</v>
      </c>
      <c r="AW52" s="71"/>
      <c r="AX52" s="71"/>
      <c r="AY52" s="71"/>
      <c r="AZ52" s="138"/>
      <c r="BA52" s="69"/>
      <c r="BB52" s="71"/>
      <c r="BC52" s="71"/>
      <c r="BD52" s="71">
        <v>1</v>
      </c>
      <c r="BE52" s="71"/>
      <c r="BF52" s="138"/>
      <c r="BG52" s="69">
        <v>1</v>
      </c>
      <c r="BH52" s="71"/>
      <c r="BI52" s="71">
        <v>2</v>
      </c>
      <c r="BJ52" s="71"/>
      <c r="BK52" s="71"/>
      <c r="BL52" s="138">
        <v>2.0833333333333333E-3</v>
      </c>
      <c r="BM52" s="69">
        <v>3</v>
      </c>
      <c r="BN52" s="71"/>
      <c r="BO52" s="71"/>
      <c r="BP52" s="71"/>
      <c r="BQ52" s="71"/>
      <c r="BR52" s="138"/>
      <c r="BS52" s="69"/>
      <c r="BT52" s="71"/>
      <c r="BU52" s="71"/>
      <c r="BV52" s="71"/>
      <c r="BW52" s="71"/>
      <c r="BX52" s="138"/>
      <c r="BZ52" s="139">
        <f t="shared" si="2"/>
        <v>11</v>
      </c>
      <c r="CA52" s="140">
        <f t="shared" si="2"/>
        <v>5.5</v>
      </c>
      <c r="CB52" s="140">
        <f t="shared" si="2"/>
        <v>2</v>
      </c>
      <c r="CC52" s="140">
        <f t="shared" si="2"/>
        <v>1</v>
      </c>
      <c r="CD52" s="147">
        <f t="shared" si="2"/>
        <v>0</v>
      </c>
      <c r="CE52" s="148">
        <f t="shared" si="2"/>
        <v>8.3333333333333332E-3</v>
      </c>
    </row>
    <row r="53" spans="1:86">
      <c r="A53" s="71">
        <v>49</v>
      </c>
      <c r="B53" s="137" t="s">
        <v>26</v>
      </c>
      <c r="C53" s="64" t="s">
        <v>137</v>
      </c>
      <c r="D53" s="14" t="s">
        <v>123</v>
      </c>
      <c r="E53" s="69">
        <v>4</v>
      </c>
      <c r="F53" s="71"/>
      <c r="G53" s="71"/>
      <c r="H53" s="71"/>
      <c r="I53" s="71"/>
      <c r="J53" s="138"/>
      <c r="K53" s="95">
        <v>3.5</v>
      </c>
      <c r="L53" s="71"/>
      <c r="M53" s="71"/>
      <c r="N53" s="71"/>
      <c r="O53" s="84"/>
      <c r="P53" s="144"/>
      <c r="Q53" s="95">
        <v>3</v>
      </c>
      <c r="R53" s="71">
        <v>4</v>
      </c>
      <c r="S53" s="71"/>
      <c r="T53" s="71"/>
      <c r="U53" s="71">
        <v>1</v>
      </c>
      <c r="V53" s="144"/>
      <c r="W53" s="95">
        <v>0.5</v>
      </c>
      <c r="X53" s="71">
        <v>0.5</v>
      </c>
      <c r="Y53" s="71"/>
      <c r="Z53" s="71"/>
      <c r="AA53" s="71">
        <v>1</v>
      </c>
      <c r="AB53" s="138"/>
      <c r="AC53" s="95">
        <v>6</v>
      </c>
      <c r="AD53" s="71"/>
      <c r="AE53" s="71"/>
      <c r="AF53" s="71"/>
      <c r="AG53" s="71"/>
      <c r="AH53" s="138"/>
      <c r="AI53" s="95">
        <v>2.5</v>
      </c>
      <c r="AJ53" s="71"/>
      <c r="AK53" s="71"/>
      <c r="AL53" s="71"/>
      <c r="AM53" s="71">
        <v>2</v>
      </c>
      <c r="AN53" s="138"/>
      <c r="AO53" s="69">
        <v>1</v>
      </c>
      <c r="AP53" s="71"/>
      <c r="AQ53" s="71"/>
      <c r="AR53" s="71"/>
      <c r="AS53" s="71"/>
      <c r="AT53" s="138"/>
      <c r="AU53" s="69">
        <v>1</v>
      </c>
      <c r="AV53" s="71"/>
      <c r="AW53" s="71"/>
      <c r="AX53" s="71"/>
      <c r="AY53" s="71">
        <v>1</v>
      </c>
      <c r="AZ53" s="138"/>
      <c r="BA53" s="69"/>
      <c r="BB53" s="71">
        <v>0.5</v>
      </c>
      <c r="BC53" s="71"/>
      <c r="BD53" s="71"/>
      <c r="BE53" s="71"/>
      <c r="BF53" s="138"/>
      <c r="BG53" s="69">
        <v>3.5</v>
      </c>
      <c r="BH53" s="71">
        <v>1</v>
      </c>
      <c r="BI53" s="71">
        <v>2</v>
      </c>
      <c r="BJ53" s="71">
        <v>0.5</v>
      </c>
      <c r="BK53" s="71"/>
      <c r="BL53" s="138"/>
      <c r="BM53" s="69"/>
      <c r="BN53" s="71"/>
      <c r="BO53" s="71"/>
      <c r="BP53" s="71"/>
      <c r="BQ53" s="71">
        <v>1</v>
      </c>
      <c r="BR53" s="138"/>
      <c r="BS53" s="69">
        <v>1.5</v>
      </c>
      <c r="BT53" s="71"/>
      <c r="BU53" s="71"/>
      <c r="BV53" s="71"/>
      <c r="BW53" s="71"/>
      <c r="BX53" s="138"/>
      <c r="BZ53" s="139">
        <f t="shared" si="2"/>
        <v>26.5</v>
      </c>
      <c r="CA53" s="140">
        <f t="shared" si="2"/>
        <v>6</v>
      </c>
      <c r="CB53" s="140">
        <f t="shared" si="2"/>
        <v>2</v>
      </c>
      <c r="CC53" s="140">
        <f t="shared" si="2"/>
        <v>0.5</v>
      </c>
      <c r="CD53" s="147">
        <f t="shared" si="2"/>
        <v>6</v>
      </c>
      <c r="CE53" s="148">
        <f t="shared" si="2"/>
        <v>0</v>
      </c>
      <c r="CF53" s="149"/>
      <c r="CG53" s="149"/>
      <c r="CH53" s="149"/>
    </row>
    <row r="54" spans="1:86">
      <c r="A54" s="71">
        <v>50</v>
      </c>
      <c r="B54" s="137" t="s">
        <v>36</v>
      </c>
      <c r="C54" s="64" t="s">
        <v>138</v>
      </c>
      <c r="D54" s="14" t="s">
        <v>139</v>
      </c>
      <c r="E54" s="69"/>
      <c r="F54" s="84"/>
      <c r="G54" s="84"/>
      <c r="H54" s="71"/>
      <c r="I54" s="71"/>
      <c r="J54" s="138"/>
      <c r="K54" s="82"/>
      <c r="L54" s="84"/>
      <c r="M54" s="84"/>
      <c r="N54" s="84"/>
      <c r="O54" s="84"/>
      <c r="P54" s="144"/>
      <c r="Q54" s="95"/>
      <c r="R54" s="71"/>
      <c r="S54" s="71"/>
      <c r="T54" s="71"/>
      <c r="U54" s="71"/>
      <c r="V54" s="144">
        <v>6.9444444444444447E-4</v>
      </c>
      <c r="W54" s="95">
        <v>2</v>
      </c>
      <c r="X54" s="71">
        <v>1</v>
      </c>
      <c r="Y54" s="71"/>
      <c r="Z54" s="71"/>
      <c r="AA54" s="71"/>
      <c r="AB54" s="138"/>
      <c r="AC54" s="95"/>
      <c r="AD54" s="71">
        <v>1</v>
      </c>
      <c r="AE54" s="71"/>
      <c r="AF54" s="71"/>
      <c r="AG54" s="71"/>
      <c r="AH54" s="138"/>
      <c r="AI54" s="95"/>
      <c r="AJ54" s="71"/>
      <c r="AK54" s="71"/>
      <c r="AL54" s="71"/>
      <c r="AM54" s="71"/>
      <c r="AN54" s="138"/>
      <c r="AO54" s="69"/>
      <c r="AP54" s="71"/>
      <c r="AQ54" s="71"/>
      <c r="AR54" s="71"/>
      <c r="AS54" s="71"/>
      <c r="AT54" s="138"/>
      <c r="AU54" s="69"/>
      <c r="AV54" s="71">
        <v>4</v>
      </c>
      <c r="AW54" s="71">
        <v>3</v>
      </c>
      <c r="AX54" s="71"/>
      <c r="AY54" s="71"/>
      <c r="AZ54" s="138"/>
      <c r="BA54" s="69"/>
      <c r="BB54" s="71"/>
      <c r="BC54" s="71"/>
      <c r="BD54" s="71"/>
      <c r="BE54" s="71"/>
      <c r="BF54" s="138"/>
      <c r="BG54" s="69"/>
      <c r="BH54" s="71"/>
      <c r="BI54" s="71">
        <v>5</v>
      </c>
      <c r="BJ54" s="71">
        <v>0.5</v>
      </c>
      <c r="BK54" s="71">
        <v>3</v>
      </c>
      <c r="BL54" s="138"/>
      <c r="BM54" s="69"/>
      <c r="BN54" s="71"/>
      <c r="BO54" s="71"/>
      <c r="BP54" s="71"/>
      <c r="BQ54" s="71"/>
      <c r="BR54" s="138"/>
      <c r="BS54" s="69"/>
      <c r="BT54" s="71"/>
      <c r="BU54" s="71"/>
      <c r="BV54" s="71"/>
      <c r="BW54" s="71"/>
      <c r="BX54" s="138"/>
      <c r="BZ54" s="139">
        <f t="shared" si="2"/>
        <v>2</v>
      </c>
      <c r="CA54" s="140">
        <f t="shared" si="2"/>
        <v>6</v>
      </c>
      <c r="CB54" s="140">
        <f t="shared" si="2"/>
        <v>8</v>
      </c>
      <c r="CC54" s="140">
        <f t="shared" si="2"/>
        <v>0.5</v>
      </c>
      <c r="CD54" s="147">
        <f t="shared" si="2"/>
        <v>3</v>
      </c>
      <c r="CE54" s="148">
        <f t="shared" si="2"/>
        <v>6.9444444444444447E-4</v>
      </c>
      <c r="CF54" s="149"/>
      <c r="CG54" s="149"/>
      <c r="CH54" s="149"/>
    </row>
    <row r="55" spans="1:86">
      <c r="A55" s="71">
        <v>51</v>
      </c>
      <c r="B55" s="150" t="s">
        <v>30</v>
      </c>
      <c r="C55" s="64" t="s">
        <v>185</v>
      </c>
      <c r="D55" s="14" t="s">
        <v>186</v>
      </c>
      <c r="E55" s="69"/>
      <c r="F55" s="84"/>
      <c r="G55" s="84"/>
      <c r="H55" s="71"/>
      <c r="I55" s="71"/>
      <c r="J55" s="138"/>
      <c r="K55" s="82"/>
      <c r="L55" s="84"/>
      <c r="M55" s="84"/>
      <c r="N55" s="84"/>
      <c r="O55" s="84"/>
      <c r="P55" s="144"/>
      <c r="Q55" s="95"/>
      <c r="R55" s="71"/>
      <c r="S55" s="71"/>
      <c r="T55" s="71"/>
      <c r="U55" s="71"/>
      <c r="V55" s="144"/>
      <c r="W55" s="95"/>
      <c r="X55" s="71">
        <v>1</v>
      </c>
      <c r="Y55" s="71"/>
      <c r="Z55" s="71"/>
      <c r="AA55" s="71"/>
      <c r="AB55" s="138"/>
      <c r="AC55" s="95">
        <v>2</v>
      </c>
      <c r="AD55" s="71">
        <v>2</v>
      </c>
      <c r="AE55" s="71"/>
      <c r="AF55" s="71"/>
      <c r="AG55" s="71"/>
      <c r="AH55" s="138"/>
      <c r="AI55" s="95">
        <v>4.5</v>
      </c>
      <c r="AJ55" s="71">
        <v>1.5</v>
      </c>
      <c r="AK55" s="71"/>
      <c r="AL55" s="71"/>
      <c r="AM55" s="71"/>
      <c r="AN55" s="138"/>
      <c r="AO55" s="69">
        <v>1</v>
      </c>
      <c r="AP55" s="71">
        <v>1.5</v>
      </c>
      <c r="AQ55" s="71"/>
      <c r="AR55" s="71"/>
      <c r="AS55" s="71"/>
      <c r="AT55" s="138"/>
      <c r="AU55" s="69"/>
      <c r="AV55" s="71"/>
      <c r="AW55" s="71"/>
      <c r="AX55" s="71"/>
      <c r="AY55" s="71"/>
      <c r="AZ55" s="138"/>
      <c r="BA55" s="69">
        <v>1</v>
      </c>
      <c r="BB55" s="71"/>
      <c r="BC55" s="71"/>
      <c r="BD55" s="71"/>
      <c r="BE55" s="71"/>
      <c r="BF55" s="138"/>
      <c r="BG55" s="69">
        <v>1</v>
      </c>
      <c r="BH55" s="71"/>
      <c r="BI55" s="71"/>
      <c r="BJ55" s="71">
        <v>0.5</v>
      </c>
      <c r="BK55" s="71"/>
      <c r="BL55" s="138"/>
      <c r="BM55" s="69">
        <v>2</v>
      </c>
      <c r="BN55" s="71"/>
      <c r="BO55" s="71"/>
      <c r="BP55" s="71">
        <v>1</v>
      </c>
      <c r="BQ55" s="71"/>
      <c r="BR55" s="138"/>
      <c r="BS55" s="69"/>
      <c r="BT55" s="71"/>
      <c r="BU55" s="71">
        <v>1</v>
      </c>
      <c r="BV55" s="71"/>
      <c r="BW55" s="71"/>
      <c r="BX55" s="138"/>
      <c r="BZ55" s="139">
        <f t="shared" si="2"/>
        <v>11.5</v>
      </c>
      <c r="CA55" s="140">
        <f t="shared" si="2"/>
        <v>6</v>
      </c>
      <c r="CB55" s="140">
        <f t="shared" si="2"/>
        <v>1</v>
      </c>
      <c r="CC55" s="140">
        <f t="shared" si="2"/>
        <v>1.5</v>
      </c>
      <c r="CD55" s="147">
        <f t="shared" si="2"/>
        <v>0</v>
      </c>
      <c r="CE55" s="148">
        <f t="shared" si="2"/>
        <v>0</v>
      </c>
      <c r="CF55" s="149"/>
      <c r="CG55" s="149"/>
      <c r="CH55" s="149"/>
    </row>
    <row r="56" spans="1:86">
      <c r="A56" s="71">
        <v>52</v>
      </c>
      <c r="B56" s="150" t="s">
        <v>26</v>
      </c>
      <c r="C56" s="108" t="s">
        <v>141</v>
      </c>
      <c r="D56" s="217" t="s">
        <v>142</v>
      </c>
      <c r="E56" s="69"/>
      <c r="F56" s="71"/>
      <c r="G56" s="71"/>
      <c r="H56" s="71"/>
      <c r="I56" s="71"/>
      <c r="J56" s="138"/>
      <c r="K56" s="95"/>
      <c r="L56" s="71"/>
      <c r="M56" s="71"/>
      <c r="N56" s="71"/>
      <c r="O56" s="84"/>
      <c r="P56" s="144"/>
      <c r="Q56" s="96">
        <v>1</v>
      </c>
      <c r="R56" s="84">
        <v>2</v>
      </c>
      <c r="S56" s="84"/>
      <c r="T56" s="84"/>
      <c r="U56" s="84">
        <v>1</v>
      </c>
      <c r="V56" s="144"/>
      <c r="W56" s="95"/>
      <c r="X56" s="71"/>
      <c r="Y56" s="71"/>
      <c r="Z56" s="71"/>
      <c r="AA56" s="71">
        <v>3</v>
      </c>
      <c r="AB56" s="138"/>
      <c r="AC56" s="95"/>
      <c r="AD56" s="71">
        <v>1</v>
      </c>
      <c r="AE56" s="71"/>
      <c r="AF56" s="71"/>
      <c r="AG56" s="71"/>
      <c r="AH56" s="138"/>
      <c r="AI56" s="95">
        <v>3</v>
      </c>
      <c r="AJ56" s="71"/>
      <c r="AK56" s="71"/>
      <c r="AL56" s="71"/>
      <c r="AM56" s="71">
        <v>1</v>
      </c>
      <c r="AN56" s="138"/>
      <c r="AO56" s="69"/>
      <c r="AP56" s="71"/>
      <c r="AQ56" s="71"/>
      <c r="AR56" s="71"/>
      <c r="AS56" s="71"/>
      <c r="AT56" s="138"/>
      <c r="AU56" s="69"/>
      <c r="AV56" s="71"/>
      <c r="AW56" s="71"/>
      <c r="AX56" s="71"/>
      <c r="AY56" s="71"/>
      <c r="AZ56" s="138"/>
      <c r="BA56" s="69"/>
      <c r="BB56" s="71">
        <v>1</v>
      </c>
      <c r="BC56" s="71"/>
      <c r="BD56" s="71"/>
      <c r="BE56" s="71"/>
      <c r="BF56" s="138"/>
      <c r="BG56" s="69"/>
      <c r="BH56" s="71"/>
      <c r="BI56" s="71"/>
      <c r="BJ56" s="71"/>
      <c r="BK56" s="71"/>
      <c r="BL56" s="138"/>
      <c r="BM56" s="69"/>
      <c r="BN56" s="71">
        <v>0.5</v>
      </c>
      <c r="BO56" s="71"/>
      <c r="BP56" s="71"/>
      <c r="BQ56" s="71"/>
      <c r="BR56" s="138"/>
      <c r="BS56" s="69"/>
      <c r="BT56" s="71"/>
      <c r="BU56" s="71"/>
      <c r="BV56" s="71"/>
      <c r="BW56" s="71"/>
      <c r="BX56" s="138"/>
      <c r="BZ56" s="139">
        <f t="shared" si="2"/>
        <v>4</v>
      </c>
      <c r="CA56" s="140">
        <f t="shared" si="2"/>
        <v>4.5</v>
      </c>
      <c r="CB56" s="140">
        <f t="shared" si="2"/>
        <v>0</v>
      </c>
      <c r="CC56" s="140">
        <f t="shared" si="2"/>
        <v>0</v>
      </c>
      <c r="CD56" s="147">
        <f t="shared" si="2"/>
        <v>5</v>
      </c>
      <c r="CE56" s="148">
        <f t="shared" si="2"/>
        <v>0</v>
      </c>
      <c r="CF56" s="149"/>
      <c r="CG56" s="149"/>
      <c r="CH56" s="149"/>
    </row>
    <row r="57" spans="1:86">
      <c r="A57" s="71">
        <v>53</v>
      </c>
      <c r="B57" s="151" t="s">
        <v>30</v>
      </c>
      <c r="C57" s="110" t="s">
        <v>143</v>
      </c>
      <c r="D57" s="106" t="s">
        <v>144</v>
      </c>
      <c r="E57" s="69"/>
      <c r="F57" s="71"/>
      <c r="G57" s="71"/>
      <c r="H57" s="71"/>
      <c r="I57" s="71">
        <v>1</v>
      </c>
      <c r="J57" s="138"/>
      <c r="K57" s="82">
        <v>1</v>
      </c>
      <c r="L57" s="84"/>
      <c r="M57" s="84"/>
      <c r="N57" s="84"/>
      <c r="O57" s="84"/>
      <c r="P57" s="144"/>
      <c r="Q57" s="82"/>
      <c r="R57" s="84"/>
      <c r="S57" s="84"/>
      <c r="T57" s="84"/>
      <c r="U57" s="84"/>
      <c r="V57" s="144"/>
      <c r="W57" s="82"/>
      <c r="X57" s="84"/>
      <c r="Y57" s="84"/>
      <c r="Z57" s="71"/>
      <c r="AA57" s="71"/>
      <c r="AB57" s="138"/>
      <c r="AC57" s="95">
        <v>1</v>
      </c>
      <c r="AD57" s="71"/>
      <c r="AE57" s="71"/>
      <c r="AF57" s="71"/>
      <c r="AG57" s="71"/>
      <c r="AH57" s="138"/>
      <c r="AI57" s="95">
        <v>1</v>
      </c>
      <c r="AJ57" s="71">
        <v>1</v>
      </c>
      <c r="AK57" s="71"/>
      <c r="AL57" s="71"/>
      <c r="AM57" s="71"/>
      <c r="AN57" s="138"/>
      <c r="AO57" s="69"/>
      <c r="AP57" s="71"/>
      <c r="AQ57" s="71"/>
      <c r="AR57" s="71"/>
      <c r="AS57" s="71"/>
      <c r="AT57" s="138"/>
      <c r="AU57" s="69"/>
      <c r="AV57" s="71"/>
      <c r="AW57" s="71"/>
      <c r="AX57" s="71"/>
      <c r="AY57" s="71">
        <v>1</v>
      </c>
      <c r="AZ57" s="138"/>
      <c r="BA57" s="69"/>
      <c r="BB57" s="71"/>
      <c r="BC57" s="71"/>
      <c r="BD57" s="71"/>
      <c r="BE57" s="71"/>
      <c r="BF57" s="138"/>
      <c r="BG57" s="69">
        <v>1</v>
      </c>
      <c r="BH57" s="71"/>
      <c r="BI57" s="71"/>
      <c r="BJ57" s="71"/>
      <c r="BK57" s="71">
        <v>1</v>
      </c>
      <c r="BL57" s="138"/>
      <c r="BM57" s="69"/>
      <c r="BN57" s="71"/>
      <c r="BO57" s="71"/>
      <c r="BP57" s="71"/>
      <c r="BQ57" s="71">
        <v>1</v>
      </c>
      <c r="BR57" s="138"/>
      <c r="BS57" s="69"/>
      <c r="BT57" s="71"/>
      <c r="BU57" s="71"/>
      <c r="BV57" s="71"/>
      <c r="BW57" s="71">
        <v>2</v>
      </c>
      <c r="BX57" s="138"/>
      <c r="BZ57" s="139">
        <f t="shared" si="2"/>
        <v>4</v>
      </c>
      <c r="CA57" s="140">
        <f t="shared" si="2"/>
        <v>1</v>
      </c>
      <c r="CB57" s="140">
        <f t="shared" si="2"/>
        <v>0</v>
      </c>
      <c r="CC57" s="140">
        <f t="shared" si="2"/>
        <v>0</v>
      </c>
      <c r="CD57" s="147">
        <f t="shared" si="2"/>
        <v>6</v>
      </c>
      <c r="CE57" s="148">
        <f t="shared" si="2"/>
        <v>0</v>
      </c>
      <c r="CF57" s="149"/>
      <c r="CG57" s="149"/>
      <c r="CH57" s="149"/>
    </row>
    <row r="58" spans="1:86">
      <c r="A58" s="71">
        <v>54</v>
      </c>
      <c r="B58" s="137" t="s">
        <v>36</v>
      </c>
      <c r="C58" s="74" t="s">
        <v>146</v>
      </c>
      <c r="D58" s="107" t="s">
        <v>125</v>
      </c>
      <c r="E58" s="69"/>
      <c r="F58" s="71">
        <v>1.5</v>
      </c>
      <c r="G58" s="71"/>
      <c r="H58" s="71"/>
      <c r="I58" s="71">
        <v>1</v>
      </c>
      <c r="J58" s="138"/>
      <c r="K58" s="95"/>
      <c r="L58" s="71"/>
      <c r="M58" s="71"/>
      <c r="N58" s="71"/>
      <c r="O58" s="84"/>
      <c r="P58" s="144"/>
      <c r="Q58" s="96">
        <v>3</v>
      </c>
      <c r="R58" s="84"/>
      <c r="S58" s="84"/>
      <c r="T58" s="84"/>
      <c r="U58" s="84">
        <v>1</v>
      </c>
      <c r="V58" s="144"/>
      <c r="W58" s="95">
        <v>2</v>
      </c>
      <c r="X58" s="71">
        <v>1</v>
      </c>
      <c r="Y58" s="71"/>
      <c r="Z58" s="71"/>
      <c r="AA58" s="71">
        <v>1</v>
      </c>
      <c r="AB58" s="138"/>
      <c r="AC58" s="95"/>
      <c r="AD58" s="71"/>
      <c r="AE58" s="71"/>
      <c r="AF58" s="71"/>
      <c r="AG58" s="71"/>
      <c r="AH58" s="138"/>
      <c r="AI58" s="95"/>
      <c r="AJ58" s="71">
        <v>0.5</v>
      </c>
      <c r="AK58" s="71"/>
      <c r="AL58" s="71"/>
      <c r="AM58" s="71"/>
      <c r="AN58" s="138"/>
      <c r="AO58" s="69"/>
      <c r="AP58" s="71"/>
      <c r="AQ58" s="71"/>
      <c r="AR58" s="71"/>
      <c r="AS58" s="71"/>
      <c r="AT58" s="138"/>
      <c r="AU58" s="69">
        <v>1</v>
      </c>
      <c r="AV58" s="71"/>
      <c r="AW58" s="71"/>
      <c r="AX58" s="71"/>
      <c r="AY58" s="71"/>
      <c r="AZ58" s="138"/>
      <c r="BA58" s="69"/>
      <c r="BB58" s="71"/>
      <c r="BC58" s="71"/>
      <c r="BD58" s="71"/>
      <c r="BE58" s="71"/>
      <c r="BF58" s="138"/>
      <c r="BG58" s="69"/>
      <c r="BH58" s="71"/>
      <c r="BI58" s="71"/>
      <c r="BJ58" s="71"/>
      <c r="BK58" s="71"/>
      <c r="BL58" s="138"/>
      <c r="BM58" s="69">
        <v>4.5</v>
      </c>
      <c r="BN58" s="71">
        <v>1</v>
      </c>
      <c r="BO58" s="71"/>
      <c r="BP58" s="71"/>
      <c r="BQ58" s="71"/>
      <c r="BR58" s="138"/>
      <c r="BS58" s="69">
        <v>2</v>
      </c>
      <c r="BT58" s="71"/>
      <c r="BU58" s="71"/>
      <c r="BV58" s="71"/>
      <c r="BW58" s="71"/>
      <c r="BX58" s="138"/>
      <c r="BZ58" s="139">
        <f t="shared" si="2"/>
        <v>12.5</v>
      </c>
      <c r="CA58" s="140">
        <f t="shared" si="2"/>
        <v>4</v>
      </c>
      <c r="CB58" s="140">
        <f t="shared" si="2"/>
        <v>0</v>
      </c>
      <c r="CC58" s="140">
        <f t="shared" si="2"/>
        <v>0</v>
      </c>
      <c r="CD58" s="147">
        <f t="shared" si="2"/>
        <v>3</v>
      </c>
      <c r="CE58" s="148">
        <f t="shared" si="2"/>
        <v>0</v>
      </c>
      <c r="CF58" s="149"/>
      <c r="CG58" s="149"/>
      <c r="CH58" s="149"/>
    </row>
    <row r="59" spans="1:86">
      <c r="A59" s="71">
        <v>55</v>
      </c>
      <c r="B59" s="137" t="s">
        <v>26</v>
      </c>
      <c r="C59" s="64" t="s">
        <v>147</v>
      </c>
      <c r="D59" s="14" t="s">
        <v>111</v>
      </c>
      <c r="E59" s="69"/>
      <c r="F59" s="71">
        <v>1</v>
      </c>
      <c r="G59" s="71"/>
      <c r="H59" s="71"/>
      <c r="I59" s="71"/>
      <c r="J59" s="138"/>
      <c r="K59" s="95"/>
      <c r="L59" s="71"/>
      <c r="M59" s="71"/>
      <c r="N59" s="71"/>
      <c r="O59" s="84"/>
      <c r="P59" s="144"/>
      <c r="Q59" s="96"/>
      <c r="R59" s="84"/>
      <c r="S59" s="84"/>
      <c r="T59" s="84"/>
      <c r="U59" s="84"/>
      <c r="V59" s="144"/>
      <c r="W59" s="95"/>
      <c r="X59" s="71"/>
      <c r="Y59" s="71"/>
      <c r="Z59" s="71"/>
      <c r="AA59" s="71">
        <v>1</v>
      </c>
      <c r="AB59" s="138"/>
      <c r="AC59" s="95"/>
      <c r="AD59" s="71"/>
      <c r="AE59" s="71"/>
      <c r="AF59" s="71"/>
      <c r="AG59" s="71"/>
      <c r="AH59" s="138"/>
      <c r="AI59" s="95"/>
      <c r="AJ59" s="71"/>
      <c r="AK59" s="71"/>
      <c r="AL59" s="71"/>
      <c r="AM59" s="71"/>
      <c r="AN59" s="138"/>
      <c r="AO59" s="69"/>
      <c r="AP59" s="71"/>
      <c r="AQ59" s="71"/>
      <c r="AR59" s="71"/>
      <c r="AS59" s="71"/>
      <c r="AT59" s="138"/>
      <c r="AU59" s="69"/>
      <c r="AV59" s="71"/>
      <c r="AW59" s="71"/>
      <c r="AX59" s="71"/>
      <c r="AY59" s="71"/>
      <c r="AZ59" s="138"/>
      <c r="BA59" s="69"/>
      <c r="BB59" s="71"/>
      <c r="BC59" s="71"/>
      <c r="BD59" s="71"/>
      <c r="BE59" s="71"/>
      <c r="BF59" s="138"/>
      <c r="BG59" s="69"/>
      <c r="BH59" s="71"/>
      <c r="BI59" s="71"/>
      <c r="BJ59" s="71"/>
      <c r="BK59" s="71"/>
      <c r="BL59" s="138"/>
      <c r="BM59" s="69"/>
      <c r="BN59" s="71"/>
      <c r="BO59" s="71"/>
      <c r="BP59" s="71"/>
      <c r="BQ59" s="71"/>
      <c r="BR59" s="138"/>
      <c r="BS59" s="69"/>
      <c r="BT59" s="71"/>
      <c r="BU59" s="71"/>
      <c r="BV59" s="71"/>
      <c r="BW59" s="71"/>
      <c r="BX59" s="138"/>
      <c r="BZ59" s="139">
        <f t="shared" si="2"/>
        <v>0</v>
      </c>
      <c r="CA59" s="140">
        <f t="shared" si="2"/>
        <v>1</v>
      </c>
      <c r="CB59" s="140">
        <f t="shared" si="2"/>
        <v>0</v>
      </c>
      <c r="CC59" s="140">
        <f t="shared" si="2"/>
        <v>0</v>
      </c>
      <c r="CD59" s="147">
        <f t="shared" si="2"/>
        <v>1</v>
      </c>
      <c r="CE59" s="148">
        <f t="shared" si="2"/>
        <v>0</v>
      </c>
      <c r="CF59" s="149"/>
      <c r="CG59" s="149"/>
      <c r="CH59" s="149"/>
    </row>
    <row r="60" spans="1:86">
      <c r="A60" s="71">
        <v>56</v>
      </c>
      <c r="B60" s="137" t="s">
        <v>30</v>
      </c>
      <c r="C60" s="64" t="s">
        <v>148</v>
      </c>
      <c r="D60" s="14" t="s">
        <v>96</v>
      </c>
      <c r="E60" s="69">
        <v>2</v>
      </c>
      <c r="F60" s="71"/>
      <c r="G60" s="71"/>
      <c r="H60" s="71"/>
      <c r="I60" s="71"/>
      <c r="J60" s="152"/>
      <c r="K60" s="69">
        <v>1</v>
      </c>
      <c r="L60" s="71">
        <v>2</v>
      </c>
      <c r="M60" s="71"/>
      <c r="N60" s="71"/>
      <c r="O60" s="84"/>
      <c r="P60" s="144"/>
      <c r="Q60" s="82">
        <v>1</v>
      </c>
      <c r="R60" s="84">
        <v>2</v>
      </c>
      <c r="S60" s="84"/>
      <c r="T60" s="84"/>
      <c r="U60" s="84"/>
      <c r="V60" s="144"/>
      <c r="W60" s="69">
        <v>1</v>
      </c>
      <c r="X60" s="71"/>
      <c r="Y60" s="71"/>
      <c r="Z60" s="71"/>
      <c r="AA60" s="71">
        <v>2</v>
      </c>
      <c r="AB60" s="138"/>
      <c r="AC60" s="95"/>
      <c r="AD60" s="71">
        <v>1</v>
      </c>
      <c r="AE60" s="71"/>
      <c r="AF60" s="71"/>
      <c r="AG60" s="71"/>
      <c r="AH60" s="138"/>
      <c r="AI60" s="95">
        <v>4</v>
      </c>
      <c r="AJ60" s="71">
        <v>1</v>
      </c>
      <c r="AK60" s="71"/>
      <c r="AL60" s="71"/>
      <c r="AM60" s="71"/>
      <c r="AN60" s="138"/>
      <c r="AO60" s="69"/>
      <c r="AP60" s="71"/>
      <c r="AQ60" s="71"/>
      <c r="AR60" s="71"/>
      <c r="AS60" s="71"/>
      <c r="AT60" s="138"/>
      <c r="AU60" s="69">
        <v>1</v>
      </c>
      <c r="AV60" s="71"/>
      <c r="AW60" s="71"/>
      <c r="AX60" s="71"/>
      <c r="AY60" s="71"/>
      <c r="AZ60" s="138"/>
      <c r="BA60" s="69">
        <v>1</v>
      </c>
      <c r="BB60" s="71"/>
      <c r="BC60" s="71"/>
      <c r="BD60" s="71"/>
      <c r="BE60" s="71"/>
      <c r="BF60" s="138"/>
      <c r="BG60" s="69">
        <v>1.5</v>
      </c>
      <c r="BH60" s="71"/>
      <c r="BI60" s="71"/>
      <c r="BJ60" s="71"/>
      <c r="BK60" s="71"/>
      <c r="BL60" s="138"/>
      <c r="BM60" s="69">
        <v>1</v>
      </c>
      <c r="BN60" s="71"/>
      <c r="BO60" s="71"/>
      <c r="BP60" s="71">
        <v>0.5</v>
      </c>
      <c r="BQ60" s="71"/>
      <c r="BR60" s="138"/>
      <c r="BS60" s="69"/>
      <c r="BT60" s="71"/>
      <c r="BU60" s="71"/>
      <c r="BV60" s="71"/>
      <c r="BW60" s="71"/>
      <c r="BX60" s="138"/>
      <c r="BZ60" s="139">
        <f t="shared" si="2"/>
        <v>13.5</v>
      </c>
      <c r="CA60" s="140">
        <f t="shared" si="2"/>
        <v>6</v>
      </c>
      <c r="CB60" s="140">
        <f t="shared" si="2"/>
        <v>0</v>
      </c>
      <c r="CC60" s="140">
        <f t="shared" si="2"/>
        <v>0.5</v>
      </c>
      <c r="CD60" s="147">
        <f t="shared" si="2"/>
        <v>2</v>
      </c>
      <c r="CE60" s="148">
        <f t="shared" si="2"/>
        <v>0</v>
      </c>
      <c r="CF60" s="149"/>
      <c r="CG60" s="149"/>
      <c r="CH60" s="149"/>
    </row>
    <row r="61" spans="1:86">
      <c r="A61" s="71">
        <v>57</v>
      </c>
      <c r="B61" s="137" t="s">
        <v>30</v>
      </c>
      <c r="C61" s="64" t="s">
        <v>149</v>
      </c>
      <c r="D61" s="14" t="s">
        <v>71</v>
      </c>
      <c r="E61" s="69"/>
      <c r="F61" s="71"/>
      <c r="G61" s="71"/>
      <c r="H61" s="71"/>
      <c r="I61" s="71"/>
      <c r="J61" s="152"/>
      <c r="K61" s="69"/>
      <c r="L61" s="71"/>
      <c r="M61" s="71"/>
      <c r="N61" s="71"/>
      <c r="O61" s="71"/>
      <c r="P61" s="138"/>
      <c r="Q61" s="69"/>
      <c r="R61" s="71"/>
      <c r="S61" s="71"/>
      <c r="T61" s="71"/>
      <c r="U61" s="71">
        <v>1</v>
      </c>
      <c r="V61" s="144"/>
      <c r="W61" s="69"/>
      <c r="X61" s="71">
        <v>2.5</v>
      </c>
      <c r="Y61" s="71"/>
      <c r="Z61" s="71"/>
      <c r="AA61" s="71"/>
      <c r="AB61" s="138"/>
      <c r="AC61" s="95"/>
      <c r="AD61" s="71"/>
      <c r="AE61" s="71"/>
      <c r="AF61" s="71"/>
      <c r="AG61" s="71"/>
      <c r="AH61" s="138"/>
      <c r="AI61" s="95"/>
      <c r="AJ61" s="71">
        <v>2.5</v>
      </c>
      <c r="AK61" s="71"/>
      <c r="AL61" s="71"/>
      <c r="AM61" s="71"/>
      <c r="AN61" s="138"/>
      <c r="AO61" s="69"/>
      <c r="AP61" s="71"/>
      <c r="AQ61" s="71"/>
      <c r="AR61" s="71"/>
      <c r="AS61" s="71"/>
      <c r="AT61" s="138"/>
      <c r="AU61" s="69"/>
      <c r="AV61" s="71"/>
      <c r="AW61" s="71"/>
      <c r="AX61" s="71"/>
      <c r="AY61" s="71"/>
      <c r="AZ61" s="138"/>
      <c r="BA61" s="69"/>
      <c r="BB61" s="71"/>
      <c r="BC61" s="71"/>
      <c r="BD61" s="71"/>
      <c r="BE61" s="71"/>
      <c r="BF61" s="138"/>
      <c r="BG61" s="69"/>
      <c r="BH61" s="71"/>
      <c r="BI61" s="71"/>
      <c r="BJ61" s="71"/>
      <c r="BK61" s="71"/>
      <c r="BL61" s="138"/>
      <c r="BM61" s="69"/>
      <c r="BN61" s="71"/>
      <c r="BO61" s="71"/>
      <c r="BP61" s="71"/>
      <c r="BQ61" s="71"/>
      <c r="BR61" s="138"/>
      <c r="BS61" s="69"/>
      <c r="BT61" s="71"/>
      <c r="BU61" s="71"/>
      <c r="BV61" s="71"/>
      <c r="BW61" s="71"/>
      <c r="BX61" s="138"/>
      <c r="BZ61" s="139">
        <f t="shared" si="2"/>
        <v>0</v>
      </c>
      <c r="CA61" s="140">
        <f t="shared" si="2"/>
        <v>5</v>
      </c>
      <c r="CB61" s="140">
        <f t="shared" si="2"/>
        <v>0</v>
      </c>
      <c r="CC61" s="140">
        <f t="shared" si="2"/>
        <v>0</v>
      </c>
      <c r="CD61" s="147">
        <f t="shared" si="2"/>
        <v>1</v>
      </c>
      <c r="CE61" s="148">
        <f t="shared" si="2"/>
        <v>0</v>
      </c>
      <c r="CF61" s="149"/>
      <c r="CG61" s="149"/>
      <c r="CH61" s="149"/>
    </row>
    <row r="62" spans="1:86">
      <c r="A62" s="71">
        <v>58</v>
      </c>
      <c r="B62" s="137" t="s">
        <v>30</v>
      </c>
      <c r="C62" s="64" t="s">
        <v>150</v>
      </c>
      <c r="D62" s="14" t="s">
        <v>142</v>
      </c>
      <c r="E62" s="69"/>
      <c r="F62" s="71"/>
      <c r="G62" s="71"/>
      <c r="H62" s="71"/>
      <c r="I62" s="71"/>
      <c r="J62" s="152"/>
      <c r="K62" s="69"/>
      <c r="L62" s="71"/>
      <c r="M62" s="71"/>
      <c r="N62" s="71"/>
      <c r="O62" s="71"/>
      <c r="P62" s="138"/>
      <c r="Q62" s="69"/>
      <c r="R62" s="71">
        <v>1</v>
      </c>
      <c r="S62" s="71"/>
      <c r="T62" s="71"/>
      <c r="U62" s="71">
        <v>1</v>
      </c>
      <c r="V62" s="144"/>
      <c r="W62" s="95"/>
      <c r="X62" s="71"/>
      <c r="Y62" s="71"/>
      <c r="Z62" s="71"/>
      <c r="AA62" s="71">
        <v>3</v>
      </c>
      <c r="AB62" s="138"/>
      <c r="AC62" s="95"/>
      <c r="AD62" s="71">
        <v>1</v>
      </c>
      <c r="AE62" s="71"/>
      <c r="AF62" s="71"/>
      <c r="AG62" s="71"/>
      <c r="AH62" s="138"/>
      <c r="AI62" s="95">
        <v>1</v>
      </c>
      <c r="AJ62" s="71"/>
      <c r="AK62" s="71"/>
      <c r="AL62" s="71"/>
      <c r="AM62" s="71">
        <v>1</v>
      </c>
      <c r="AN62" s="138"/>
      <c r="AO62" s="69"/>
      <c r="AP62" s="71"/>
      <c r="AQ62" s="71"/>
      <c r="AR62" s="71"/>
      <c r="AS62" s="71"/>
      <c r="AT62" s="138"/>
      <c r="AU62" s="69"/>
      <c r="AV62" s="71"/>
      <c r="AW62" s="71"/>
      <c r="AX62" s="71"/>
      <c r="AY62" s="71"/>
      <c r="AZ62" s="138"/>
      <c r="BA62" s="69">
        <v>1</v>
      </c>
      <c r="BB62" s="71"/>
      <c r="BC62" s="71"/>
      <c r="BD62" s="71"/>
      <c r="BE62" s="71"/>
      <c r="BF62" s="138"/>
      <c r="BG62" s="69"/>
      <c r="BH62" s="71"/>
      <c r="BI62" s="71"/>
      <c r="BJ62" s="71"/>
      <c r="BK62" s="71"/>
      <c r="BL62" s="138"/>
      <c r="BM62" s="69"/>
      <c r="BN62" s="71"/>
      <c r="BO62" s="71"/>
      <c r="BP62" s="71"/>
      <c r="BQ62" s="71"/>
      <c r="BR62" s="138"/>
      <c r="BS62" s="69"/>
      <c r="BT62" s="71"/>
      <c r="BU62" s="71"/>
      <c r="BV62" s="71"/>
      <c r="BW62" s="71"/>
      <c r="BX62" s="138"/>
      <c r="BZ62" s="139">
        <f t="shared" si="2"/>
        <v>2</v>
      </c>
      <c r="CA62" s="140">
        <f t="shared" si="2"/>
        <v>2</v>
      </c>
      <c r="CB62" s="140">
        <f t="shared" si="2"/>
        <v>0</v>
      </c>
      <c r="CC62" s="140">
        <f t="shared" si="2"/>
        <v>0</v>
      </c>
      <c r="CD62" s="147">
        <f t="shared" si="2"/>
        <v>5</v>
      </c>
      <c r="CE62" s="148">
        <f t="shared" si="2"/>
        <v>0</v>
      </c>
      <c r="CF62" s="149"/>
      <c r="CG62" s="149"/>
      <c r="CH62" s="149"/>
    </row>
    <row r="63" spans="1:86">
      <c r="A63" s="71">
        <v>59</v>
      </c>
      <c r="B63" s="137" t="s">
        <v>36</v>
      </c>
      <c r="C63" s="64" t="s">
        <v>151</v>
      </c>
      <c r="D63" s="14" t="s">
        <v>142</v>
      </c>
      <c r="E63" s="69"/>
      <c r="F63" s="71"/>
      <c r="G63" s="71"/>
      <c r="H63" s="71"/>
      <c r="I63" s="71"/>
      <c r="J63" s="145"/>
      <c r="K63" s="82"/>
      <c r="L63" s="84"/>
      <c r="M63" s="84"/>
      <c r="N63" s="84"/>
      <c r="O63" s="84"/>
      <c r="P63" s="144"/>
      <c r="Q63" s="82"/>
      <c r="R63" s="84">
        <v>1</v>
      </c>
      <c r="S63" s="84"/>
      <c r="T63" s="84"/>
      <c r="U63" s="84">
        <v>1</v>
      </c>
      <c r="V63" s="144"/>
      <c r="W63" s="153"/>
      <c r="X63" s="71"/>
      <c r="Y63" s="71"/>
      <c r="Z63" s="71"/>
      <c r="AA63" s="71">
        <v>3</v>
      </c>
      <c r="AB63" s="152"/>
      <c r="AC63" s="95"/>
      <c r="AD63" s="71">
        <v>1</v>
      </c>
      <c r="AE63" s="71"/>
      <c r="AF63" s="71"/>
      <c r="AG63" s="71"/>
      <c r="AH63" s="138"/>
      <c r="AI63" s="95"/>
      <c r="AJ63" s="71"/>
      <c r="AK63" s="71"/>
      <c r="AL63" s="71"/>
      <c r="AM63" s="71">
        <v>1</v>
      </c>
      <c r="AN63" s="138"/>
      <c r="AO63" s="69"/>
      <c r="AP63" s="71"/>
      <c r="AQ63" s="71"/>
      <c r="AR63" s="71"/>
      <c r="AS63" s="71"/>
      <c r="AT63" s="138"/>
      <c r="AU63" s="69"/>
      <c r="AV63" s="71">
        <v>2.5</v>
      </c>
      <c r="AW63" s="71"/>
      <c r="AX63" s="71"/>
      <c r="AY63" s="71"/>
      <c r="AZ63" s="138"/>
      <c r="BA63" s="69">
        <v>1</v>
      </c>
      <c r="BB63" s="71"/>
      <c r="BC63" s="71"/>
      <c r="BD63" s="71"/>
      <c r="BE63" s="71"/>
      <c r="BF63" s="138"/>
      <c r="BG63" s="69">
        <v>1</v>
      </c>
      <c r="BH63" s="71"/>
      <c r="BI63" s="71"/>
      <c r="BJ63" s="71"/>
      <c r="BK63" s="71"/>
      <c r="BL63" s="138"/>
      <c r="BM63" s="69"/>
      <c r="BN63" s="71"/>
      <c r="BO63" s="71"/>
      <c r="BP63" s="71"/>
      <c r="BQ63" s="71"/>
      <c r="BR63" s="138"/>
      <c r="BS63" s="69"/>
      <c r="BT63" s="71"/>
      <c r="BU63" s="71"/>
      <c r="BV63" s="71"/>
      <c r="BW63" s="71"/>
      <c r="BX63" s="138"/>
      <c r="BZ63" s="139">
        <f t="shared" si="2"/>
        <v>2</v>
      </c>
      <c r="CA63" s="140">
        <f t="shared" si="2"/>
        <v>4.5</v>
      </c>
      <c r="CB63" s="140">
        <f t="shared" si="2"/>
        <v>0</v>
      </c>
      <c r="CC63" s="140">
        <f t="shared" si="2"/>
        <v>0</v>
      </c>
      <c r="CD63" s="147">
        <f t="shared" si="2"/>
        <v>5</v>
      </c>
      <c r="CE63" s="148">
        <f t="shared" si="2"/>
        <v>0</v>
      </c>
      <c r="CF63" s="149"/>
      <c r="CG63" s="149"/>
      <c r="CH63" s="149"/>
    </row>
    <row r="64" spans="1:86">
      <c r="A64" s="71">
        <v>60</v>
      </c>
      <c r="B64" s="137" t="s">
        <v>30</v>
      </c>
      <c r="C64" s="64" t="s">
        <v>153</v>
      </c>
      <c r="D64" s="14" t="s">
        <v>154</v>
      </c>
      <c r="E64" s="69"/>
      <c r="F64" s="71"/>
      <c r="G64" s="71"/>
      <c r="H64" s="71"/>
      <c r="I64" s="71"/>
      <c r="J64" s="144"/>
      <c r="K64" s="82"/>
      <c r="L64" s="84"/>
      <c r="M64" s="84"/>
      <c r="N64" s="84"/>
      <c r="O64" s="84"/>
      <c r="P64" s="144"/>
      <c r="Q64" s="82">
        <v>0.5</v>
      </c>
      <c r="R64" s="84"/>
      <c r="S64" s="84"/>
      <c r="T64" s="84"/>
      <c r="U64" s="84">
        <v>1</v>
      </c>
      <c r="V64" s="144"/>
      <c r="W64" s="95"/>
      <c r="X64" s="71">
        <v>1</v>
      </c>
      <c r="Y64" s="71"/>
      <c r="Z64" s="71"/>
      <c r="AA64" s="71">
        <v>1</v>
      </c>
      <c r="AB64" s="138">
        <v>6.9444444444444447E-4</v>
      </c>
      <c r="AC64" s="95">
        <v>1</v>
      </c>
      <c r="AD64" s="71"/>
      <c r="AE64" s="71"/>
      <c r="AF64" s="71"/>
      <c r="AG64" s="71">
        <v>1</v>
      </c>
      <c r="AH64" s="138"/>
      <c r="AI64" s="95">
        <v>1</v>
      </c>
      <c r="AJ64" s="71"/>
      <c r="AK64" s="71"/>
      <c r="AL64" s="71"/>
      <c r="AM64" s="71"/>
      <c r="AN64" s="138"/>
      <c r="AO64" s="69"/>
      <c r="AP64" s="71"/>
      <c r="AQ64" s="71"/>
      <c r="AR64" s="71"/>
      <c r="AS64" s="71"/>
      <c r="AT64" s="138"/>
      <c r="AU64" s="69"/>
      <c r="AV64" s="71"/>
      <c r="AW64" s="71"/>
      <c r="AX64" s="71"/>
      <c r="AY64" s="71"/>
      <c r="AZ64" s="138"/>
      <c r="BA64" s="69"/>
      <c r="BB64" s="71"/>
      <c r="BC64" s="71"/>
      <c r="BD64" s="71"/>
      <c r="BE64" s="71"/>
      <c r="BF64" s="138"/>
      <c r="BG64" s="69"/>
      <c r="BH64" s="71">
        <v>1</v>
      </c>
      <c r="BI64" s="71"/>
      <c r="BJ64" s="71"/>
      <c r="BK64" s="71"/>
      <c r="BL64" s="138"/>
      <c r="BM64" s="69">
        <v>0.5</v>
      </c>
      <c r="BN64" s="71"/>
      <c r="BO64" s="71"/>
      <c r="BP64" s="71"/>
      <c r="BQ64" s="71"/>
      <c r="BR64" s="138"/>
      <c r="BS64" s="69"/>
      <c r="BT64" s="71"/>
      <c r="BU64" s="71"/>
      <c r="BV64" s="71"/>
      <c r="BW64" s="71"/>
      <c r="BX64" s="138"/>
      <c r="BZ64" s="139">
        <f t="shared" si="2"/>
        <v>3</v>
      </c>
      <c r="CA64" s="140">
        <f t="shared" si="2"/>
        <v>2</v>
      </c>
      <c r="CB64" s="140">
        <f t="shared" si="2"/>
        <v>0</v>
      </c>
      <c r="CC64" s="140">
        <f t="shared" si="2"/>
        <v>0</v>
      </c>
      <c r="CD64" s="147">
        <f t="shared" si="2"/>
        <v>3</v>
      </c>
      <c r="CE64" s="148">
        <f t="shared" si="2"/>
        <v>6.9444444444444447E-4</v>
      </c>
      <c r="CF64" s="149"/>
      <c r="CG64" s="149"/>
      <c r="CH64" s="149"/>
    </row>
    <row r="65" spans="1:86">
      <c r="A65" s="71">
        <v>61</v>
      </c>
      <c r="B65" s="137" t="s">
        <v>36</v>
      </c>
      <c r="C65" s="74" t="s">
        <v>155</v>
      </c>
      <c r="D65" s="107" t="s">
        <v>71</v>
      </c>
      <c r="E65" s="69"/>
      <c r="F65" s="71"/>
      <c r="G65" s="71"/>
      <c r="H65" s="71"/>
      <c r="I65" s="71">
        <v>2</v>
      </c>
      <c r="J65" s="145"/>
      <c r="K65" s="82">
        <v>1</v>
      </c>
      <c r="L65" s="84"/>
      <c r="M65" s="84"/>
      <c r="N65" s="84"/>
      <c r="O65" s="84">
        <v>1</v>
      </c>
      <c r="P65" s="144"/>
      <c r="Q65" s="82"/>
      <c r="R65" s="84">
        <v>1</v>
      </c>
      <c r="S65" s="84"/>
      <c r="T65" s="84"/>
      <c r="U65" s="84"/>
      <c r="V65" s="144"/>
      <c r="W65" s="95"/>
      <c r="X65" s="71"/>
      <c r="Y65" s="71"/>
      <c r="Z65" s="71"/>
      <c r="AA65" s="71"/>
      <c r="AB65" s="138"/>
      <c r="AC65" s="95"/>
      <c r="AD65" s="71">
        <v>2</v>
      </c>
      <c r="AE65" s="71"/>
      <c r="AF65" s="71"/>
      <c r="AG65" s="71"/>
      <c r="AH65" s="138"/>
      <c r="AI65" s="95"/>
      <c r="AJ65" s="71"/>
      <c r="AK65" s="71"/>
      <c r="AL65" s="71"/>
      <c r="AM65" s="71"/>
      <c r="AN65" s="138"/>
      <c r="AO65" s="69">
        <v>2</v>
      </c>
      <c r="AP65" s="71"/>
      <c r="AQ65" s="71"/>
      <c r="AR65" s="71"/>
      <c r="AS65" s="71"/>
      <c r="AT65" s="138"/>
      <c r="AU65" s="69"/>
      <c r="AV65" s="71"/>
      <c r="AW65" s="71"/>
      <c r="AX65" s="71"/>
      <c r="AY65" s="71"/>
      <c r="AZ65" s="138"/>
      <c r="BA65" s="69"/>
      <c r="BB65" s="71">
        <v>0.5</v>
      </c>
      <c r="BC65" s="71"/>
      <c r="BD65" s="71"/>
      <c r="BE65" s="71"/>
      <c r="BF65" s="138"/>
      <c r="BG65" s="69"/>
      <c r="BH65" s="71"/>
      <c r="BI65" s="71"/>
      <c r="BJ65" s="71"/>
      <c r="BK65" s="71"/>
      <c r="BL65" s="138"/>
      <c r="BM65" s="69">
        <v>0.5</v>
      </c>
      <c r="BN65" s="71"/>
      <c r="BO65" s="71"/>
      <c r="BP65" s="71"/>
      <c r="BQ65" s="71">
        <v>1</v>
      </c>
      <c r="BR65" s="138"/>
      <c r="BS65" s="69"/>
      <c r="BT65" s="71"/>
      <c r="BU65" s="71"/>
      <c r="BV65" s="71"/>
      <c r="BW65" s="71">
        <v>1</v>
      </c>
      <c r="BX65" s="138"/>
      <c r="BZ65" s="139">
        <f t="shared" si="2"/>
        <v>3.5</v>
      </c>
      <c r="CA65" s="140">
        <f t="shared" si="2"/>
        <v>3.5</v>
      </c>
      <c r="CB65" s="140">
        <f t="shared" si="2"/>
        <v>0</v>
      </c>
      <c r="CC65" s="140">
        <f t="shared" si="2"/>
        <v>0</v>
      </c>
      <c r="CD65" s="147">
        <f t="shared" si="2"/>
        <v>5</v>
      </c>
      <c r="CE65" s="148">
        <f t="shared" si="2"/>
        <v>0</v>
      </c>
      <c r="CF65" s="149"/>
      <c r="CG65" s="149"/>
      <c r="CH65" s="149"/>
    </row>
    <row r="66" spans="1:86">
      <c r="A66" s="71">
        <v>62</v>
      </c>
      <c r="B66" s="137" t="s">
        <v>30</v>
      </c>
      <c r="C66" s="74" t="s">
        <v>156</v>
      </c>
      <c r="D66" s="107" t="s">
        <v>157</v>
      </c>
      <c r="E66" s="69"/>
      <c r="F66" s="71"/>
      <c r="G66" s="71"/>
      <c r="H66" s="71"/>
      <c r="I66" s="71"/>
      <c r="J66" s="144"/>
      <c r="K66" s="82">
        <v>2</v>
      </c>
      <c r="L66" s="84">
        <v>0.5</v>
      </c>
      <c r="M66" s="84"/>
      <c r="N66" s="84"/>
      <c r="O66" s="84"/>
      <c r="P66" s="144"/>
      <c r="Q66" s="82"/>
      <c r="R66" s="84">
        <v>1.5</v>
      </c>
      <c r="S66" s="84"/>
      <c r="T66" s="84"/>
      <c r="U66" s="84">
        <v>1</v>
      </c>
      <c r="V66" s="144"/>
      <c r="W66" s="95"/>
      <c r="X66" s="71">
        <v>4</v>
      </c>
      <c r="Y66" s="71"/>
      <c r="Z66" s="71">
        <v>1</v>
      </c>
      <c r="AA66" s="71"/>
      <c r="AB66" s="138"/>
      <c r="AC66" s="95">
        <v>1</v>
      </c>
      <c r="AD66" s="71"/>
      <c r="AE66" s="71"/>
      <c r="AF66" s="71"/>
      <c r="AG66" s="71">
        <v>1</v>
      </c>
      <c r="AH66" s="138"/>
      <c r="AI66" s="95"/>
      <c r="AJ66" s="71"/>
      <c r="AK66" s="71"/>
      <c r="AL66" s="71"/>
      <c r="AM66" s="71"/>
      <c r="AN66" s="138"/>
      <c r="AO66" s="69"/>
      <c r="AP66" s="71"/>
      <c r="AQ66" s="71"/>
      <c r="AR66" s="71">
        <v>0.5</v>
      </c>
      <c r="AS66" s="71"/>
      <c r="AT66" s="138"/>
      <c r="AU66" s="69"/>
      <c r="AV66" s="71"/>
      <c r="AW66" s="71"/>
      <c r="AX66" s="71"/>
      <c r="AY66" s="71"/>
      <c r="AZ66" s="138"/>
      <c r="BA66" s="69">
        <v>1</v>
      </c>
      <c r="BB66" s="71"/>
      <c r="BC66" s="71">
        <v>0.5</v>
      </c>
      <c r="BD66" s="71"/>
      <c r="BE66" s="71"/>
      <c r="BF66" s="138"/>
      <c r="BG66" s="69"/>
      <c r="BH66" s="71"/>
      <c r="BI66" s="71">
        <v>3</v>
      </c>
      <c r="BJ66" s="71"/>
      <c r="BK66" s="71"/>
      <c r="BL66" s="138"/>
      <c r="BM66" s="69">
        <v>1</v>
      </c>
      <c r="BN66" s="71"/>
      <c r="BO66" s="71"/>
      <c r="BP66" s="71"/>
      <c r="BQ66" s="71"/>
      <c r="BR66" s="138"/>
      <c r="BS66" s="69">
        <v>1</v>
      </c>
      <c r="BT66" s="71"/>
      <c r="BU66" s="71"/>
      <c r="BV66" s="71"/>
      <c r="BW66" s="71"/>
      <c r="BX66" s="138"/>
      <c r="BZ66" s="139">
        <f t="shared" si="2"/>
        <v>6</v>
      </c>
      <c r="CA66" s="140">
        <f t="shared" si="2"/>
        <v>6</v>
      </c>
      <c r="CB66" s="140">
        <f t="shared" si="2"/>
        <v>3.5</v>
      </c>
      <c r="CC66" s="140">
        <f t="shared" si="2"/>
        <v>1.5</v>
      </c>
      <c r="CD66" s="147">
        <f t="shared" si="2"/>
        <v>2</v>
      </c>
      <c r="CE66" s="148">
        <f t="shared" si="2"/>
        <v>0</v>
      </c>
      <c r="CF66" s="149"/>
      <c r="CG66" s="149"/>
      <c r="CH66" s="149"/>
    </row>
    <row r="67" spans="1:86">
      <c r="A67" s="71">
        <v>63</v>
      </c>
      <c r="B67" s="137" t="s">
        <v>30</v>
      </c>
      <c r="C67" s="74" t="s">
        <v>158</v>
      </c>
      <c r="D67" s="107" t="s">
        <v>159</v>
      </c>
      <c r="E67" s="69">
        <v>1</v>
      </c>
      <c r="F67" s="71"/>
      <c r="G67" s="71"/>
      <c r="H67" s="71"/>
      <c r="I67" s="71"/>
      <c r="J67" s="144"/>
      <c r="K67" s="82"/>
      <c r="L67" s="84">
        <v>1</v>
      </c>
      <c r="M67" s="84"/>
      <c r="N67" s="84"/>
      <c r="O67" s="84"/>
      <c r="P67" s="144"/>
      <c r="Q67" s="82"/>
      <c r="R67" s="84"/>
      <c r="S67" s="84"/>
      <c r="T67" s="84"/>
      <c r="U67" s="84">
        <v>1</v>
      </c>
      <c r="V67" s="144"/>
      <c r="W67" s="95">
        <v>1</v>
      </c>
      <c r="X67" s="71">
        <v>0.5</v>
      </c>
      <c r="Y67" s="71"/>
      <c r="Z67" s="71"/>
      <c r="AA67" s="71"/>
      <c r="AB67" s="138"/>
      <c r="AC67" s="95"/>
      <c r="AD67" s="71"/>
      <c r="AE67" s="71"/>
      <c r="AF67" s="71"/>
      <c r="AG67" s="71"/>
      <c r="AH67" s="138"/>
      <c r="AI67" s="95">
        <v>5</v>
      </c>
      <c r="AJ67" s="71"/>
      <c r="AK67" s="71"/>
      <c r="AL67" s="71"/>
      <c r="AM67" s="71"/>
      <c r="AN67" s="138"/>
      <c r="AO67" s="69"/>
      <c r="AP67" s="71"/>
      <c r="AQ67" s="71"/>
      <c r="AR67" s="71"/>
      <c r="AS67" s="71">
        <v>1</v>
      </c>
      <c r="AT67" s="138"/>
      <c r="AU67" s="69">
        <v>1</v>
      </c>
      <c r="AV67" s="71"/>
      <c r="AW67" s="71"/>
      <c r="AX67" s="71"/>
      <c r="AY67" s="71"/>
      <c r="AZ67" s="138"/>
      <c r="BA67" s="69"/>
      <c r="BB67" s="71"/>
      <c r="BC67" s="71"/>
      <c r="BD67" s="71">
        <v>0.5</v>
      </c>
      <c r="BE67" s="71"/>
      <c r="BF67" s="138"/>
      <c r="BG67" s="69"/>
      <c r="BH67" s="71">
        <v>3</v>
      </c>
      <c r="BI67" s="71"/>
      <c r="BJ67" s="71"/>
      <c r="BK67" s="71">
        <v>2</v>
      </c>
      <c r="BL67" s="138"/>
      <c r="BM67" s="69"/>
      <c r="BN67" s="71"/>
      <c r="BO67" s="71"/>
      <c r="BP67" s="71"/>
      <c r="BQ67" s="71"/>
      <c r="BR67" s="138"/>
      <c r="BS67" s="69">
        <v>2</v>
      </c>
      <c r="BT67" s="71"/>
      <c r="BU67" s="71"/>
      <c r="BV67" s="71"/>
      <c r="BW67" s="71"/>
      <c r="BX67" s="138"/>
      <c r="BZ67" s="139">
        <f t="shared" si="2"/>
        <v>10</v>
      </c>
      <c r="CA67" s="140">
        <f t="shared" si="2"/>
        <v>4.5</v>
      </c>
      <c r="CB67" s="140">
        <f t="shared" si="2"/>
        <v>0</v>
      </c>
      <c r="CC67" s="140">
        <f t="shared" si="2"/>
        <v>0.5</v>
      </c>
      <c r="CD67" s="147">
        <f t="shared" si="2"/>
        <v>4</v>
      </c>
      <c r="CE67" s="148">
        <f t="shared" si="2"/>
        <v>0</v>
      </c>
      <c r="CF67" s="149"/>
      <c r="CG67" s="149"/>
      <c r="CH67" s="149"/>
    </row>
    <row r="68" spans="1:86">
      <c r="A68" s="71">
        <v>64</v>
      </c>
      <c r="B68" s="137" t="s">
        <v>30</v>
      </c>
      <c r="C68" s="74" t="s">
        <v>158</v>
      </c>
      <c r="D68" s="107" t="s">
        <v>69</v>
      </c>
      <c r="E68" s="69">
        <v>2</v>
      </c>
      <c r="F68" s="71"/>
      <c r="G68" s="71"/>
      <c r="H68" s="71"/>
      <c r="I68" s="71"/>
      <c r="J68" s="144"/>
      <c r="K68" s="82"/>
      <c r="L68" s="84">
        <v>0.5</v>
      </c>
      <c r="M68" s="84"/>
      <c r="N68" s="84"/>
      <c r="O68" s="84"/>
      <c r="P68" s="144"/>
      <c r="Q68" s="82">
        <v>1</v>
      </c>
      <c r="R68" s="84"/>
      <c r="S68" s="84"/>
      <c r="T68" s="84"/>
      <c r="U68" s="84">
        <v>1</v>
      </c>
      <c r="V68" s="144"/>
      <c r="W68" s="95"/>
      <c r="X68" s="71">
        <v>1</v>
      </c>
      <c r="Y68" s="71"/>
      <c r="Z68" s="71"/>
      <c r="AA68" s="71">
        <v>1</v>
      </c>
      <c r="AB68" s="138"/>
      <c r="AC68" s="95"/>
      <c r="AD68" s="71">
        <v>1</v>
      </c>
      <c r="AE68" s="71"/>
      <c r="AF68" s="71"/>
      <c r="AG68" s="71"/>
      <c r="AH68" s="138"/>
      <c r="AI68" s="95">
        <v>1</v>
      </c>
      <c r="AJ68" s="71"/>
      <c r="AK68" s="71"/>
      <c r="AL68" s="71"/>
      <c r="AM68" s="71"/>
      <c r="AN68" s="138"/>
      <c r="AO68" s="69"/>
      <c r="AP68" s="71">
        <v>1</v>
      </c>
      <c r="AQ68" s="71"/>
      <c r="AR68" s="71"/>
      <c r="AS68" s="71"/>
      <c r="AT68" s="138"/>
      <c r="AU68" s="69">
        <v>1</v>
      </c>
      <c r="AV68" s="71"/>
      <c r="AW68" s="71"/>
      <c r="AX68" s="71"/>
      <c r="AY68" s="71"/>
      <c r="AZ68" s="138"/>
      <c r="BA68" s="69">
        <v>2</v>
      </c>
      <c r="BB68" s="71">
        <v>1</v>
      </c>
      <c r="BC68" s="71"/>
      <c r="BD68" s="71"/>
      <c r="BE68" s="71"/>
      <c r="BF68" s="138"/>
      <c r="BG68" s="69"/>
      <c r="BH68" s="71"/>
      <c r="BI68" s="71"/>
      <c r="BJ68" s="71"/>
      <c r="BK68" s="71">
        <v>2</v>
      </c>
      <c r="BL68" s="138"/>
      <c r="BM68" s="69"/>
      <c r="BN68" s="71"/>
      <c r="BO68" s="71"/>
      <c r="BP68" s="71"/>
      <c r="BQ68" s="71"/>
      <c r="BR68" s="138"/>
      <c r="BS68" s="69"/>
      <c r="BT68" s="71"/>
      <c r="BU68" s="71"/>
      <c r="BV68" s="71"/>
      <c r="BW68" s="71">
        <v>2</v>
      </c>
      <c r="BX68" s="138"/>
      <c r="BZ68" s="139">
        <f t="shared" si="2"/>
        <v>7</v>
      </c>
      <c r="CA68" s="140">
        <f t="shared" si="2"/>
        <v>4.5</v>
      </c>
      <c r="CB68" s="140">
        <f t="shared" si="2"/>
        <v>0</v>
      </c>
      <c r="CC68" s="140">
        <f t="shared" si="2"/>
        <v>0</v>
      </c>
      <c r="CD68" s="147">
        <f t="shared" si="2"/>
        <v>6</v>
      </c>
      <c r="CE68" s="148">
        <f t="shared" si="2"/>
        <v>0</v>
      </c>
      <c r="CF68" s="149"/>
      <c r="CG68" s="149"/>
      <c r="CH68" s="149"/>
    </row>
    <row r="69" spans="1:86">
      <c r="A69" s="71">
        <v>65</v>
      </c>
      <c r="B69" s="137" t="s">
        <v>30</v>
      </c>
      <c r="C69" s="74" t="s">
        <v>158</v>
      </c>
      <c r="D69" s="107" t="s">
        <v>187</v>
      </c>
      <c r="E69" s="69"/>
      <c r="F69" s="71"/>
      <c r="G69" s="71"/>
      <c r="H69" s="71"/>
      <c r="I69" s="71"/>
      <c r="J69" s="144"/>
      <c r="K69" s="82"/>
      <c r="L69" s="84"/>
      <c r="M69" s="84"/>
      <c r="N69" s="84"/>
      <c r="O69" s="84"/>
      <c r="P69" s="144"/>
      <c r="Q69" s="82"/>
      <c r="R69" s="84"/>
      <c r="S69" s="84"/>
      <c r="T69" s="84"/>
      <c r="U69" s="84"/>
      <c r="V69" s="144"/>
      <c r="W69" s="95"/>
      <c r="X69" s="71"/>
      <c r="Y69" s="71"/>
      <c r="Z69" s="71"/>
      <c r="AA69" s="71"/>
      <c r="AB69" s="138"/>
      <c r="AC69" s="95"/>
      <c r="AD69" s="71">
        <v>1</v>
      </c>
      <c r="AE69" s="71"/>
      <c r="AF69" s="71"/>
      <c r="AG69" s="71"/>
      <c r="AH69" s="138"/>
      <c r="AI69" s="95"/>
      <c r="AJ69" s="71">
        <v>1</v>
      </c>
      <c r="AK69" s="71"/>
      <c r="AL69" s="71"/>
      <c r="AM69" s="71"/>
      <c r="AN69" s="138"/>
      <c r="AO69" s="69">
        <v>1</v>
      </c>
      <c r="AP69" s="71"/>
      <c r="AQ69" s="71"/>
      <c r="AR69" s="71"/>
      <c r="AS69" s="71"/>
      <c r="AT69" s="138"/>
      <c r="AU69" s="69">
        <v>1</v>
      </c>
      <c r="AV69" s="71">
        <v>1</v>
      </c>
      <c r="AW69" s="71"/>
      <c r="AX69" s="71"/>
      <c r="AY69" s="71"/>
      <c r="AZ69" s="138"/>
      <c r="BA69" s="69"/>
      <c r="BB69" s="71">
        <v>1.5</v>
      </c>
      <c r="BC69" s="71"/>
      <c r="BD69" s="71"/>
      <c r="BE69" s="71"/>
      <c r="BF69" s="138"/>
      <c r="BG69" s="69"/>
      <c r="BH69" s="71"/>
      <c r="BI69" s="71"/>
      <c r="BJ69" s="71"/>
      <c r="BK69" s="71"/>
      <c r="BL69" s="138"/>
      <c r="BM69" s="69"/>
      <c r="BN69" s="71"/>
      <c r="BO69" s="71"/>
      <c r="BP69" s="71"/>
      <c r="BQ69" s="71"/>
      <c r="BR69" s="138"/>
      <c r="BS69" s="69"/>
      <c r="BT69" s="71"/>
      <c r="BU69" s="71"/>
      <c r="BV69" s="71"/>
      <c r="BW69" s="71"/>
      <c r="BX69" s="138"/>
      <c r="BZ69" s="139">
        <f t="shared" si="2"/>
        <v>2</v>
      </c>
      <c r="CA69" s="140">
        <f t="shared" si="2"/>
        <v>4.5</v>
      </c>
      <c r="CB69" s="140">
        <f t="shared" si="2"/>
        <v>0</v>
      </c>
      <c r="CC69" s="140">
        <f t="shared" si="2"/>
        <v>0</v>
      </c>
      <c r="CD69" s="147">
        <f t="shared" si="2"/>
        <v>0</v>
      </c>
      <c r="CE69" s="148">
        <f t="shared" si="2"/>
        <v>0</v>
      </c>
      <c r="CF69" s="149"/>
      <c r="CG69" s="149"/>
      <c r="CH69" s="149"/>
    </row>
    <row r="70" spans="1:86">
      <c r="A70" s="71">
        <v>66</v>
      </c>
      <c r="B70" s="137" t="s">
        <v>30</v>
      </c>
      <c r="C70" s="74" t="s">
        <v>160</v>
      </c>
      <c r="D70" s="107" t="s">
        <v>107</v>
      </c>
      <c r="E70" s="69"/>
      <c r="F70" s="71"/>
      <c r="G70" s="71"/>
      <c r="H70" s="71"/>
      <c r="I70" s="71"/>
      <c r="J70" s="144"/>
      <c r="K70" s="82"/>
      <c r="L70" s="84"/>
      <c r="M70" s="84"/>
      <c r="N70" s="84"/>
      <c r="O70" s="84"/>
      <c r="P70" s="144"/>
      <c r="Q70" s="82">
        <v>1</v>
      </c>
      <c r="R70" s="84">
        <v>2</v>
      </c>
      <c r="S70" s="84"/>
      <c r="T70" s="84"/>
      <c r="U70" s="84"/>
      <c r="V70" s="144"/>
      <c r="W70" s="95">
        <v>1</v>
      </c>
      <c r="X70" s="71">
        <v>2</v>
      </c>
      <c r="Y70" s="71"/>
      <c r="Z70" s="71"/>
      <c r="AA70" s="71"/>
      <c r="AB70" s="138"/>
      <c r="AC70" s="95">
        <v>1</v>
      </c>
      <c r="AD70" s="71">
        <v>1</v>
      </c>
      <c r="AE70" s="71"/>
      <c r="AF70" s="71"/>
      <c r="AG70" s="71">
        <v>1</v>
      </c>
      <c r="AH70" s="138"/>
      <c r="AI70" s="95">
        <v>3</v>
      </c>
      <c r="AJ70" s="71"/>
      <c r="AK70" s="71"/>
      <c r="AL70" s="71"/>
      <c r="AM70" s="71"/>
      <c r="AN70" s="138"/>
      <c r="AO70" s="69"/>
      <c r="AP70" s="71"/>
      <c r="AQ70" s="71"/>
      <c r="AR70" s="71"/>
      <c r="AS70" s="71"/>
      <c r="AT70" s="138"/>
      <c r="AU70" s="69"/>
      <c r="AV70" s="71"/>
      <c r="AW70" s="71"/>
      <c r="AX70" s="71"/>
      <c r="AY70" s="71"/>
      <c r="AZ70" s="138"/>
      <c r="BA70" s="69"/>
      <c r="BB70" s="71"/>
      <c r="BC70" s="71"/>
      <c r="BD70" s="71"/>
      <c r="BE70" s="71"/>
      <c r="BF70" s="138"/>
      <c r="BG70" s="69"/>
      <c r="BH70" s="71"/>
      <c r="BI70" s="71"/>
      <c r="BJ70" s="71"/>
      <c r="BK70" s="71"/>
      <c r="BL70" s="138"/>
      <c r="BM70" s="69"/>
      <c r="BN70" s="71">
        <v>1</v>
      </c>
      <c r="BO70" s="71"/>
      <c r="BP70" s="71"/>
      <c r="BQ70" s="71">
        <v>2</v>
      </c>
      <c r="BR70" s="138"/>
      <c r="BS70" s="69">
        <v>1</v>
      </c>
      <c r="BT70" s="71"/>
      <c r="BU70" s="71"/>
      <c r="BV70" s="71"/>
      <c r="BW70" s="71"/>
      <c r="BX70" s="138"/>
      <c r="BZ70" s="139">
        <f t="shared" si="2"/>
        <v>7</v>
      </c>
      <c r="CA70" s="140">
        <f t="shared" si="2"/>
        <v>6</v>
      </c>
      <c r="CB70" s="140">
        <f t="shared" si="2"/>
        <v>0</v>
      </c>
      <c r="CC70" s="140">
        <f t="shared" si="2"/>
        <v>0</v>
      </c>
      <c r="CD70" s="147">
        <f t="shared" si="2"/>
        <v>3</v>
      </c>
      <c r="CE70" s="148">
        <f t="shared" si="2"/>
        <v>0</v>
      </c>
      <c r="CF70" s="149"/>
      <c r="CG70" s="149"/>
      <c r="CH70" s="149"/>
    </row>
    <row r="71" spans="1:86">
      <c r="A71" s="71">
        <v>67</v>
      </c>
      <c r="B71" s="137" t="s">
        <v>26</v>
      </c>
      <c r="C71" s="74" t="s">
        <v>161</v>
      </c>
      <c r="D71" s="107" t="s">
        <v>162</v>
      </c>
      <c r="E71" s="69"/>
      <c r="F71" s="71">
        <v>0.5</v>
      </c>
      <c r="G71" s="71"/>
      <c r="H71" s="71"/>
      <c r="I71" s="71">
        <v>1</v>
      </c>
      <c r="J71" s="144"/>
      <c r="K71" s="82"/>
      <c r="L71" s="84">
        <v>2</v>
      </c>
      <c r="M71" s="84"/>
      <c r="N71" s="84"/>
      <c r="O71" s="84"/>
      <c r="P71" s="144"/>
      <c r="Q71" s="82">
        <v>0.5</v>
      </c>
      <c r="R71" s="84"/>
      <c r="S71" s="84"/>
      <c r="T71" s="84"/>
      <c r="U71" s="84">
        <v>1</v>
      </c>
      <c r="V71" s="144">
        <v>6.9444444444444447E-4</v>
      </c>
      <c r="W71" s="95">
        <v>1</v>
      </c>
      <c r="X71" s="71"/>
      <c r="Y71" s="71"/>
      <c r="Z71" s="71"/>
      <c r="AA71" s="71">
        <v>1</v>
      </c>
      <c r="AB71" s="138"/>
      <c r="AC71" s="95">
        <v>1.5</v>
      </c>
      <c r="AD71" s="71">
        <v>2</v>
      </c>
      <c r="AE71" s="71"/>
      <c r="AF71" s="71"/>
      <c r="AG71" s="71"/>
      <c r="AH71" s="138"/>
      <c r="AI71" s="95">
        <v>3</v>
      </c>
      <c r="AJ71" s="71">
        <v>0.5</v>
      </c>
      <c r="AK71" s="71"/>
      <c r="AL71" s="71"/>
      <c r="AM71" s="71"/>
      <c r="AN71" s="138"/>
      <c r="AO71" s="69"/>
      <c r="AP71" s="71"/>
      <c r="AQ71" s="71"/>
      <c r="AR71" s="71">
        <v>0.5</v>
      </c>
      <c r="AS71" s="71">
        <v>1</v>
      </c>
      <c r="AT71" s="138"/>
      <c r="AU71" s="69"/>
      <c r="AV71" s="71">
        <v>1</v>
      </c>
      <c r="AW71" s="71"/>
      <c r="AX71" s="71"/>
      <c r="AY71" s="71">
        <v>1</v>
      </c>
      <c r="AZ71" s="138"/>
      <c r="BA71" s="69">
        <v>1.5</v>
      </c>
      <c r="BB71" s="71"/>
      <c r="BC71" s="71"/>
      <c r="BD71" s="71"/>
      <c r="BE71" s="71"/>
      <c r="BF71" s="138"/>
      <c r="BG71" s="69">
        <v>1.5</v>
      </c>
      <c r="BH71" s="71"/>
      <c r="BI71" s="71"/>
      <c r="BJ71" s="71"/>
      <c r="BK71" s="71"/>
      <c r="BL71" s="138"/>
      <c r="BM71" s="69">
        <v>1.5</v>
      </c>
      <c r="BN71" s="71"/>
      <c r="BO71" s="71"/>
      <c r="BP71" s="71">
        <v>1</v>
      </c>
      <c r="BQ71" s="71">
        <v>1</v>
      </c>
      <c r="BR71" s="138"/>
      <c r="BS71" s="69">
        <v>2</v>
      </c>
      <c r="BT71" s="71"/>
      <c r="BU71" s="71">
        <v>1</v>
      </c>
      <c r="BV71" s="71">
        <v>0.5</v>
      </c>
      <c r="BW71" s="71"/>
      <c r="BX71" s="138"/>
      <c r="BZ71" s="139">
        <f t="shared" si="2"/>
        <v>12.5</v>
      </c>
      <c r="CA71" s="140">
        <f t="shared" si="2"/>
        <v>6</v>
      </c>
      <c r="CB71" s="140">
        <f t="shared" si="2"/>
        <v>1</v>
      </c>
      <c r="CC71" s="140">
        <f t="shared" si="2"/>
        <v>2</v>
      </c>
      <c r="CD71" s="147">
        <f t="shared" si="2"/>
        <v>6</v>
      </c>
      <c r="CE71" s="148">
        <f t="shared" si="2"/>
        <v>6.9444444444444447E-4</v>
      </c>
      <c r="CF71" s="149"/>
      <c r="CG71" s="149"/>
      <c r="CH71" s="149"/>
    </row>
    <row r="72" spans="1:86">
      <c r="A72" s="71">
        <v>68</v>
      </c>
      <c r="B72" s="146" t="s">
        <v>30</v>
      </c>
      <c r="C72" s="74" t="s">
        <v>163</v>
      </c>
      <c r="D72" s="107" t="s">
        <v>164</v>
      </c>
      <c r="E72" s="69"/>
      <c r="F72" s="71"/>
      <c r="G72" s="71"/>
      <c r="H72" s="71"/>
      <c r="I72" s="71"/>
      <c r="J72" s="144"/>
      <c r="K72" s="82"/>
      <c r="L72" s="84"/>
      <c r="M72" s="84"/>
      <c r="N72" s="84"/>
      <c r="O72" s="84"/>
      <c r="P72" s="144"/>
      <c r="Q72" s="82"/>
      <c r="R72" s="84"/>
      <c r="S72" s="84"/>
      <c r="T72" s="84"/>
      <c r="U72" s="84"/>
      <c r="V72" s="144"/>
      <c r="W72" s="95"/>
      <c r="X72" s="71">
        <v>1</v>
      </c>
      <c r="Y72" s="71"/>
      <c r="Z72" s="71"/>
      <c r="AA72" s="71"/>
      <c r="AB72" s="138"/>
      <c r="AC72" s="95"/>
      <c r="AD72" s="71"/>
      <c r="AE72" s="71"/>
      <c r="AF72" s="71"/>
      <c r="AG72" s="71"/>
      <c r="AH72" s="138"/>
      <c r="AI72" s="95"/>
      <c r="AJ72" s="71">
        <v>1</v>
      </c>
      <c r="AK72" s="71"/>
      <c r="AL72" s="71"/>
      <c r="AM72" s="71"/>
      <c r="AN72" s="138"/>
      <c r="AO72" s="69">
        <v>1</v>
      </c>
      <c r="AP72" s="71"/>
      <c r="AQ72" s="71"/>
      <c r="AR72" s="71"/>
      <c r="AS72" s="71"/>
      <c r="AT72" s="138"/>
      <c r="AU72" s="69">
        <v>1</v>
      </c>
      <c r="AV72" s="71"/>
      <c r="AW72" s="71"/>
      <c r="AX72" s="71"/>
      <c r="AY72" s="71"/>
      <c r="AZ72" s="138"/>
      <c r="BA72" s="69"/>
      <c r="BB72" s="71"/>
      <c r="BC72" s="71"/>
      <c r="BD72" s="71"/>
      <c r="BE72" s="71"/>
      <c r="BF72" s="138"/>
      <c r="BG72" s="69"/>
      <c r="BH72" s="71"/>
      <c r="BI72" s="71"/>
      <c r="BJ72" s="71"/>
      <c r="BK72" s="71"/>
      <c r="BL72" s="138"/>
      <c r="BM72" s="69">
        <v>1</v>
      </c>
      <c r="BN72" s="71"/>
      <c r="BO72" s="71"/>
      <c r="BP72" s="71"/>
      <c r="BQ72" s="71"/>
      <c r="BR72" s="138"/>
      <c r="BS72" s="69"/>
      <c r="BT72" s="71"/>
      <c r="BU72" s="71"/>
      <c r="BV72" s="71"/>
      <c r="BW72" s="71"/>
      <c r="BX72" s="138"/>
      <c r="BZ72" s="139">
        <f t="shared" si="2"/>
        <v>3</v>
      </c>
      <c r="CA72" s="140">
        <f t="shared" si="2"/>
        <v>2</v>
      </c>
      <c r="CB72" s="140">
        <f t="shared" si="2"/>
        <v>0</v>
      </c>
      <c r="CC72" s="140">
        <f t="shared" si="2"/>
        <v>0</v>
      </c>
      <c r="CD72" s="147">
        <f t="shared" si="2"/>
        <v>0</v>
      </c>
      <c r="CE72" s="148">
        <f t="shared" si="2"/>
        <v>0</v>
      </c>
      <c r="CF72" s="149"/>
      <c r="CG72" s="149"/>
      <c r="CH72" s="149"/>
    </row>
    <row r="73" spans="1:86">
      <c r="A73" s="71">
        <v>69</v>
      </c>
      <c r="B73" s="137" t="s">
        <v>36</v>
      </c>
      <c r="C73" s="74" t="s">
        <v>165</v>
      </c>
      <c r="D73" s="107" t="s">
        <v>162</v>
      </c>
      <c r="E73" s="69"/>
      <c r="F73" s="71">
        <v>1</v>
      </c>
      <c r="G73" s="71"/>
      <c r="H73" s="71"/>
      <c r="I73" s="71"/>
      <c r="J73" s="144"/>
      <c r="K73" s="82"/>
      <c r="L73" s="84">
        <v>0.5</v>
      </c>
      <c r="M73" s="84"/>
      <c r="N73" s="84"/>
      <c r="O73" s="84"/>
      <c r="P73" s="144"/>
      <c r="Q73" s="82"/>
      <c r="R73" s="84"/>
      <c r="S73" s="84"/>
      <c r="T73" s="84"/>
      <c r="U73" s="84">
        <v>2</v>
      </c>
      <c r="V73" s="144"/>
      <c r="W73" s="95">
        <v>1.5</v>
      </c>
      <c r="X73" s="71"/>
      <c r="Y73" s="71"/>
      <c r="Z73" s="71"/>
      <c r="AA73" s="71"/>
      <c r="AB73" s="138"/>
      <c r="AC73" s="95"/>
      <c r="AD73" s="71">
        <v>1</v>
      </c>
      <c r="AE73" s="71"/>
      <c r="AF73" s="71"/>
      <c r="AG73" s="71"/>
      <c r="AH73" s="138">
        <v>6.9444444444444447E-4</v>
      </c>
      <c r="AI73" s="95">
        <v>3</v>
      </c>
      <c r="AJ73" s="71"/>
      <c r="AK73" s="71"/>
      <c r="AL73" s="71"/>
      <c r="AM73" s="71"/>
      <c r="AN73" s="138"/>
      <c r="AO73" s="69"/>
      <c r="AP73" s="71"/>
      <c r="AQ73" s="71"/>
      <c r="AR73" s="71"/>
      <c r="AS73" s="71"/>
      <c r="AT73" s="138"/>
      <c r="AU73" s="69"/>
      <c r="AV73" s="71"/>
      <c r="AW73" s="71"/>
      <c r="AX73" s="71"/>
      <c r="AY73" s="71"/>
      <c r="AZ73" s="138"/>
      <c r="BA73" s="69"/>
      <c r="BB73" s="71">
        <v>2</v>
      </c>
      <c r="BC73" s="71"/>
      <c r="BD73" s="71"/>
      <c r="BE73" s="71">
        <v>1</v>
      </c>
      <c r="BF73" s="138"/>
      <c r="BG73" s="69">
        <v>1</v>
      </c>
      <c r="BH73" s="71"/>
      <c r="BI73" s="71"/>
      <c r="BJ73" s="71"/>
      <c r="BK73" s="71"/>
      <c r="BL73" s="138"/>
      <c r="BM73" s="69"/>
      <c r="BN73" s="71"/>
      <c r="BO73" s="71"/>
      <c r="BP73" s="71"/>
      <c r="BQ73" s="71"/>
      <c r="BR73" s="138">
        <v>6.9444444444444447E-4</v>
      </c>
      <c r="BS73" s="69"/>
      <c r="BT73" s="71"/>
      <c r="BU73" s="71"/>
      <c r="BV73" s="71"/>
      <c r="BW73" s="71">
        <v>1</v>
      </c>
      <c r="BX73" s="138"/>
      <c r="BZ73" s="139">
        <f t="shared" si="2"/>
        <v>5.5</v>
      </c>
      <c r="CA73" s="140">
        <f t="shared" si="2"/>
        <v>4.5</v>
      </c>
      <c r="CB73" s="140">
        <f t="shared" si="2"/>
        <v>0</v>
      </c>
      <c r="CC73" s="140">
        <f t="shared" si="2"/>
        <v>0</v>
      </c>
      <c r="CD73" s="147">
        <f t="shared" si="2"/>
        <v>4</v>
      </c>
      <c r="CE73" s="148">
        <f t="shared" si="2"/>
        <v>1.3888888888888889E-3</v>
      </c>
      <c r="CF73" s="149"/>
      <c r="CG73" s="149"/>
      <c r="CH73" s="149"/>
    </row>
    <row r="74" spans="1:86">
      <c r="A74" s="71">
        <v>70</v>
      </c>
      <c r="B74" s="137" t="s">
        <v>30</v>
      </c>
      <c r="C74" s="74" t="s">
        <v>166</v>
      </c>
      <c r="D74" s="107" t="s">
        <v>167</v>
      </c>
      <c r="E74" s="69">
        <v>1.5</v>
      </c>
      <c r="F74" s="71">
        <v>2</v>
      </c>
      <c r="G74" s="71"/>
      <c r="H74" s="71"/>
      <c r="I74" s="71"/>
      <c r="J74" s="144"/>
      <c r="K74" s="82"/>
      <c r="L74" s="84"/>
      <c r="M74" s="84"/>
      <c r="N74" s="84"/>
      <c r="O74" s="84"/>
      <c r="P74" s="144"/>
      <c r="Q74" s="82">
        <v>1</v>
      </c>
      <c r="R74" s="84"/>
      <c r="S74" s="84"/>
      <c r="T74" s="84"/>
      <c r="U74" s="84"/>
      <c r="V74" s="144"/>
      <c r="W74" s="95">
        <v>1</v>
      </c>
      <c r="X74" s="71"/>
      <c r="Y74" s="71"/>
      <c r="Z74" s="71"/>
      <c r="AA74" s="71"/>
      <c r="AB74" s="138"/>
      <c r="AC74" s="95">
        <v>1</v>
      </c>
      <c r="AD74" s="71"/>
      <c r="AE74" s="71"/>
      <c r="AF74" s="71"/>
      <c r="AG74" s="71"/>
      <c r="AH74" s="138"/>
      <c r="AI74" s="95">
        <v>3.5</v>
      </c>
      <c r="AJ74" s="71"/>
      <c r="AK74" s="71"/>
      <c r="AL74" s="71"/>
      <c r="AM74" s="71"/>
      <c r="AN74" s="138"/>
      <c r="AO74" s="69"/>
      <c r="AP74" s="71">
        <v>1</v>
      </c>
      <c r="AQ74" s="71"/>
      <c r="AR74" s="71"/>
      <c r="AS74" s="71"/>
      <c r="AT74" s="138"/>
      <c r="AU74" s="69">
        <v>1</v>
      </c>
      <c r="AV74" s="71">
        <v>3</v>
      </c>
      <c r="AW74" s="71"/>
      <c r="AX74" s="71"/>
      <c r="AY74" s="71"/>
      <c r="AZ74" s="138"/>
      <c r="BA74" s="69"/>
      <c r="BB74" s="71"/>
      <c r="BC74" s="71"/>
      <c r="BD74" s="71">
        <v>1</v>
      </c>
      <c r="BE74" s="71"/>
      <c r="BF74" s="138"/>
      <c r="BG74" s="69">
        <v>1</v>
      </c>
      <c r="BH74" s="71"/>
      <c r="BI74" s="71"/>
      <c r="BJ74" s="71"/>
      <c r="BK74" s="71">
        <v>1</v>
      </c>
      <c r="BL74" s="138"/>
      <c r="BM74" s="69">
        <v>1</v>
      </c>
      <c r="BN74" s="71"/>
      <c r="BO74" s="71"/>
      <c r="BP74" s="71">
        <v>0.5</v>
      </c>
      <c r="BQ74" s="71"/>
      <c r="BR74" s="138"/>
      <c r="BS74" s="69"/>
      <c r="BT74" s="71"/>
      <c r="BU74" s="71"/>
      <c r="BV74" s="71"/>
      <c r="BW74" s="71"/>
      <c r="BX74" s="138"/>
      <c r="BZ74" s="139">
        <f t="shared" si="2"/>
        <v>11</v>
      </c>
      <c r="CA74" s="140">
        <f t="shared" si="2"/>
        <v>6</v>
      </c>
      <c r="CB74" s="140">
        <f t="shared" si="2"/>
        <v>0</v>
      </c>
      <c r="CC74" s="140">
        <f t="shared" si="2"/>
        <v>1.5</v>
      </c>
      <c r="CD74" s="147">
        <f t="shared" si="2"/>
        <v>1</v>
      </c>
      <c r="CE74" s="148">
        <f t="shared" si="2"/>
        <v>0</v>
      </c>
      <c r="CF74" s="149"/>
      <c r="CG74" s="149"/>
      <c r="CH74" s="149"/>
    </row>
    <row r="75" spans="1:86">
      <c r="A75" s="71">
        <v>71</v>
      </c>
      <c r="B75" s="137" t="s">
        <v>36</v>
      </c>
      <c r="C75" s="64" t="s">
        <v>168</v>
      </c>
      <c r="D75" s="14" t="s">
        <v>169</v>
      </c>
      <c r="E75" s="69"/>
      <c r="F75" s="71"/>
      <c r="G75" s="71"/>
      <c r="H75" s="71"/>
      <c r="I75" s="71"/>
      <c r="J75" s="144"/>
      <c r="K75" s="82"/>
      <c r="L75" s="84"/>
      <c r="M75" s="84"/>
      <c r="N75" s="84"/>
      <c r="O75" s="84"/>
      <c r="P75" s="144"/>
      <c r="Q75" s="82"/>
      <c r="R75" s="84"/>
      <c r="S75" s="84"/>
      <c r="T75" s="84"/>
      <c r="U75" s="84">
        <v>1</v>
      </c>
      <c r="V75" s="144"/>
      <c r="W75" s="95"/>
      <c r="X75" s="71"/>
      <c r="Y75" s="71"/>
      <c r="Z75" s="71"/>
      <c r="AA75" s="71"/>
      <c r="AB75" s="138"/>
      <c r="AC75" s="95"/>
      <c r="AD75" s="71">
        <v>1.5</v>
      </c>
      <c r="AE75" s="71"/>
      <c r="AF75" s="71"/>
      <c r="AG75" s="71"/>
      <c r="AH75" s="138"/>
      <c r="AI75" s="95"/>
      <c r="AJ75" s="71"/>
      <c r="AK75" s="71"/>
      <c r="AL75" s="71"/>
      <c r="AM75" s="71"/>
      <c r="AN75" s="138"/>
      <c r="AO75" s="69"/>
      <c r="AP75" s="71"/>
      <c r="AQ75" s="71"/>
      <c r="AR75" s="71"/>
      <c r="AS75" s="71"/>
      <c r="AT75" s="138"/>
      <c r="AU75" s="69"/>
      <c r="AV75" s="71"/>
      <c r="AW75" s="71"/>
      <c r="AX75" s="71"/>
      <c r="AY75" s="71">
        <v>2</v>
      </c>
      <c r="AZ75" s="138"/>
      <c r="BA75" s="69"/>
      <c r="BB75" s="71"/>
      <c r="BC75" s="71"/>
      <c r="BD75" s="71"/>
      <c r="BE75" s="71"/>
      <c r="BF75" s="138"/>
      <c r="BG75" s="69"/>
      <c r="BH75" s="71"/>
      <c r="BI75" s="71"/>
      <c r="BJ75" s="71"/>
      <c r="BK75" s="71"/>
      <c r="BL75" s="138"/>
      <c r="BM75" s="69"/>
      <c r="BN75" s="71"/>
      <c r="BO75" s="71"/>
      <c r="BP75" s="71"/>
      <c r="BQ75" s="71">
        <v>1</v>
      </c>
      <c r="BR75" s="138"/>
      <c r="BS75" s="69"/>
      <c r="BT75" s="71"/>
      <c r="BU75" s="71"/>
      <c r="BV75" s="71"/>
      <c r="BW75" s="71"/>
      <c r="BX75" s="138"/>
      <c r="BZ75" s="139">
        <f t="shared" si="2"/>
        <v>0</v>
      </c>
      <c r="CA75" s="140">
        <f t="shared" si="2"/>
        <v>1.5</v>
      </c>
      <c r="CB75" s="140">
        <f t="shared" si="2"/>
        <v>0</v>
      </c>
      <c r="CC75" s="140">
        <f t="shared" si="2"/>
        <v>0</v>
      </c>
      <c r="CD75" s="147">
        <f t="shared" si="2"/>
        <v>4</v>
      </c>
      <c r="CE75" s="148">
        <f t="shared" si="2"/>
        <v>0</v>
      </c>
      <c r="CF75" s="149"/>
      <c r="CG75" s="149"/>
      <c r="CH75" s="149"/>
    </row>
    <row r="76" spans="1:86">
      <c r="A76" s="71">
        <v>72</v>
      </c>
      <c r="B76" s="137" t="s">
        <v>26</v>
      </c>
      <c r="C76" s="64" t="s">
        <v>182</v>
      </c>
      <c r="D76" s="14" t="s">
        <v>77</v>
      </c>
      <c r="E76" s="69"/>
      <c r="F76" s="71"/>
      <c r="G76" s="71"/>
      <c r="H76" s="71"/>
      <c r="I76" s="71"/>
      <c r="J76" s="144"/>
      <c r="K76" s="82"/>
      <c r="L76" s="84"/>
      <c r="M76" s="84"/>
      <c r="N76" s="84"/>
      <c r="O76" s="84"/>
      <c r="P76" s="144"/>
      <c r="Q76" s="82"/>
      <c r="R76" s="84"/>
      <c r="S76" s="84"/>
      <c r="T76" s="84"/>
      <c r="U76" s="84"/>
      <c r="V76" s="144"/>
      <c r="W76" s="95">
        <v>3</v>
      </c>
      <c r="X76" s="71">
        <v>1.5</v>
      </c>
      <c r="Y76" s="71"/>
      <c r="Z76" s="71"/>
      <c r="AA76" s="71"/>
      <c r="AB76" s="138"/>
      <c r="AC76" s="95">
        <v>1</v>
      </c>
      <c r="AD76" s="71">
        <v>1.5</v>
      </c>
      <c r="AE76" s="71"/>
      <c r="AF76" s="71"/>
      <c r="AG76" s="71"/>
      <c r="AH76" s="138"/>
      <c r="AI76" s="95"/>
      <c r="AJ76" s="71">
        <v>1</v>
      </c>
      <c r="AK76" s="71"/>
      <c r="AL76" s="71"/>
      <c r="AM76" s="71"/>
      <c r="AN76" s="138"/>
      <c r="AO76" s="69">
        <v>1</v>
      </c>
      <c r="AP76" s="71">
        <v>1</v>
      </c>
      <c r="AQ76" s="71"/>
      <c r="AR76" s="71"/>
      <c r="AS76" s="71"/>
      <c r="AT76" s="138"/>
      <c r="AU76" s="69"/>
      <c r="AV76" s="71">
        <v>0.5</v>
      </c>
      <c r="AW76" s="71"/>
      <c r="AX76" s="71"/>
      <c r="AY76" s="71"/>
      <c r="AZ76" s="138"/>
      <c r="BA76" s="69"/>
      <c r="BB76" s="71">
        <v>0.5</v>
      </c>
      <c r="BC76" s="71"/>
      <c r="BD76" s="71"/>
      <c r="BE76" s="71"/>
      <c r="BF76" s="138"/>
      <c r="BG76" s="69"/>
      <c r="BH76" s="71"/>
      <c r="BI76" s="71"/>
      <c r="BJ76" s="71">
        <v>0.5</v>
      </c>
      <c r="BK76" s="71"/>
      <c r="BL76" s="138"/>
      <c r="BM76" s="69"/>
      <c r="BN76" s="71"/>
      <c r="BO76" s="71">
        <v>1</v>
      </c>
      <c r="BP76" s="71"/>
      <c r="BQ76" s="71"/>
      <c r="BR76" s="138"/>
      <c r="BS76" s="69"/>
      <c r="BT76" s="71"/>
      <c r="BU76" s="71"/>
      <c r="BV76" s="71"/>
      <c r="BW76" s="71">
        <v>2</v>
      </c>
      <c r="BX76" s="138"/>
      <c r="BZ76" s="139">
        <f t="shared" si="2"/>
        <v>5</v>
      </c>
      <c r="CA76" s="140">
        <f t="shared" si="2"/>
        <v>6</v>
      </c>
      <c r="CB76" s="140">
        <f t="shared" si="2"/>
        <v>1</v>
      </c>
      <c r="CC76" s="140">
        <f t="shared" si="2"/>
        <v>0.5</v>
      </c>
      <c r="CD76" s="147">
        <f t="shared" si="2"/>
        <v>2</v>
      </c>
      <c r="CE76" s="148">
        <f t="shared" si="2"/>
        <v>0</v>
      </c>
      <c r="CF76" s="149"/>
      <c r="CG76" s="149"/>
      <c r="CH76" s="149"/>
    </row>
    <row r="77" spans="1:86">
      <c r="A77" s="71">
        <v>73</v>
      </c>
      <c r="B77" s="137" t="s">
        <v>26</v>
      </c>
      <c r="C77" s="64" t="s">
        <v>170</v>
      </c>
      <c r="D77" s="14" t="s">
        <v>171</v>
      </c>
      <c r="E77" s="69">
        <v>2</v>
      </c>
      <c r="F77" s="71">
        <v>0.5</v>
      </c>
      <c r="G77" s="71"/>
      <c r="H77" s="71"/>
      <c r="I77" s="71"/>
      <c r="J77" s="144"/>
      <c r="K77" s="82"/>
      <c r="L77" s="84"/>
      <c r="M77" s="84"/>
      <c r="N77" s="84"/>
      <c r="O77" s="84"/>
      <c r="P77" s="144"/>
      <c r="Q77" s="82">
        <v>1</v>
      </c>
      <c r="R77" s="84">
        <v>0.5</v>
      </c>
      <c r="S77" s="84"/>
      <c r="T77" s="84"/>
      <c r="U77" s="84">
        <v>1</v>
      </c>
      <c r="V77" s="144"/>
      <c r="W77" s="95"/>
      <c r="X77" s="71">
        <v>0.5</v>
      </c>
      <c r="Y77" s="71"/>
      <c r="Z77" s="71"/>
      <c r="AA77" s="71">
        <v>2</v>
      </c>
      <c r="AB77" s="138"/>
      <c r="AC77" s="95">
        <v>1</v>
      </c>
      <c r="AD77" s="71">
        <v>0.5</v>
      </c>
      <c r="AE77" s="71"/>
      <c r="AF77" s="71"/>
      <c r="AG77" s="71"/>
      <c r="AH77" s="138"/>
      <c r="AI77" s="95"/>
      <c r="AJ77" s="71">
        <v>0.5</v>
      </c>
      <c r="AK77" s="71"/>
      <c r="AL77" s="71"/>
      <c r="AM77" s="71">
        <v>1</v>
      </c>
      <c r="AN77" s="138"/>
      <c r="AO77" s="69"/>
      <c r="AP77" s="71"/>
      <c r="AQ77" s="71"/>
      <c r="AR77" s="71"/>
      <c r="AS77" s="71">
        <v>1</v>
      </c>
      <c r="AT77" s="138"/>
      <c r="AU77" s="69"/>
      <c r="AV77" s="71"/>
      <c r="AW77" s="71"/>
      <c r="AX77" s="71"/>
      <c r="AY77" s="71"/>
      <c r="AZ77" s="138"/>
      <c r="BA77" s="69"/>
      <c r="BB77" s="71"/>
      <c r="BC77" s="71"/>
      <c r="BD77" s="71"/>
      <c r="BE77" s="71"/>
      <c r="BF77" s="138"/>
      <c r="BG77" s="69">
        <v>2</v>
      </c>
      <c r="BH77" s="71">
        <v>0.5</v>
      </c>
      <c r="BI77" s="71"/>
      <c r="BJ77" s="71"/>
      <c r="BK77" s="71"/>
      <c r="BL77" s="138"/>
      <c r="BM77" s="69"/>
      <c r="BN77" s="71"/>
      <c r="BO77" s="71"/>
      <c r="BP77" s="71"/>
      <c r="BQ77" s="71"/>
      <c r="BR77" s="138"/>
      <c r="BS77" s="69"/>
      <c r="BT77" s="71"/>
      <c r="BU77" s="71"/>
      <c r="BV77" s="71"/>
      <c r="BW77" s="71"/>
      <c r="BX77" s="138"/>
      <c r="BZ77" s="139">
        <f t="shared" si="2"/>
        <v>6</v>
      </c>
      <c r="CA77" s="140">
        <f t="shared" si="2"/>
        <v>3</v>
      </c>
      <c r="CB77" s="140">
        <f t="shared" si="2"/>
        <v>0</v>
      </c>
      <c r="CC77" s="140">
        <f t="shared" si="2"/>
        <v>0</v>
      </c>
      <c r="CD77" s="147">
        <f t="shared" si="2"/>
        <v>5</v>
      </c>
      <c r="CE77" s="148">
        <f t="shared" si="2"/>
        <v>0</v>
      </c>
      <c r="CF77" s="149"/>
      <c r="CG77" s="149"/>
      <c r="CH77" s="149"/>
    </row>
    <row r="78" spans="1:86">
      <c r="A78" s="71">
        <v>74</v>
      </c>
      <c r="B78" s="137" t="s">
        <v>26</v>
      </c>
      <c r="C78" s="74" t="s">
        <v>172</v>
      </c>
      <c r="D78" s="107" t="s">
        <v>173</v>
      </c>
      <c r="E78" s="69"/>
      <c r="F78" s="71">
        <v>2</v>
      </c>
      <c r="G78" s="71"/>
      <c r="H78" s="71"/>
      <c r="I78" s="71"/>
      <c r="J78" s="144"/>
      <c r="K78" s="82"/>
      <c r="L78" s="84"/>
      <c r="M78" s="84"/>
      <c r="N78" s="84"/>
      <c r="O78" s="84"/>
      <c r="P78" s="144"/>
      <c r="Q78" s="82"/>
      <c r="R78" s="84"/>
      <c r="S78" s="84"/>
      <c r="T78" s="84"/>
      <c r="U78" s="84">
        <v>2</v>
      </c>
      <c r="V78" s="144"/>
      <c r="W78" s="95"/>
      <c r="X78" s="71">
        <v>1.5</v>
      </c>
      <c r="Y78" s="71"/>
      <c r="Z78" s="71"/>
      <c r="AA78" s="71"/>
      <c r="AB78" s="138"/>
      <c r="AC78" s="95"/>
      <c r="AD78" s="71"/>
      <c r="AE78" s="71"/>
      <c r="AF78" s="71"/>
      <c r="AG78" s="71"/>
      <c r="AH78" s="138"/>
      <c r="AI78" s="95"/>
      <c r="AJ78" s="71"/>
      <c r="AK78" s="71"/>
      <c r="AL78" s="71"/>
      <c r="AM78" s="71"/>
      <c r="AN78" s="138"/>
      <c r="AO78" s="69"/>
      <c r="AP78" s="71"/>
      <c r="AQ78" s="71"/>
      <c r="AR78" s="71"/>
      <c r="AS78" s="71"/>
      <c r="AT78" s="138"/>
      <c r="AU78" s="69"/>
      <c r="AV78" s="71"/>
      <c r="AW78" s="71"/>
      <c r="AX78" s="71"/>
      <c r="AY78" s="71"/>
      <c r="AZ78" s="138"/>
      <c r="BA78" s="69">
        <v>4.5</v>
      </c>
      <c r="BB78" s="71"/>
      <c r="BC78" s="71"/>
      <c r="BD78" s="71"/>
      <c r="BE78" s="71">
        <v>2</v>
      </c>
      <c r="BF78" s="138"/>
      <c r="BG78" s="69"/>
      <c r="BH78" s="71">
        <v>1</v>
      </c>
      <c r="BI78" s="71"/>
      <c r="BJ78" s="71"/>
      <c r="BK78" s="71"/>
      <c r="BL78" s="138"/>
      <c r="BM78" s="69"/>
      <c r="BN78" s="71"/>
      <c r="BO78" s="71"/>
      <c r="BP78" s="71"/>
      <c r="BQ78" s="71"/>
      <c r="BR78" s="138"/>
      <c r="BS78" s="69"/>
      <c r="BT78" s="71"/>
      <c r="BU78" s="71"/>
      <c r="BV78" s="71"/>
      <c r="BW78" s="71"/>
      <c r="BX78" s="138"/>
      <c r="BZ78" s="139">
        <f t="shared" si="2"/>
        <v>4.5</v>
      </c>
      <c r="CA78" s="140">
        <f t="shared" si="2"/>
        <v>4.5</v>
      </c>
      <c r="CB78" s="140">
        <f t="shared" si="2"/>
        <v>0</v>
      </c>
      <c r="CC78" s="140">
        <f t="shared" si="2"/>
        <v>0</v>
      </c>
      <c r="CD78" s="147">
        <f t="shared" si="2"/>
        <v>4</v>
      </c>
      <c r="CE78" s="148">
        <f t="shared" si="2"/>
        <v>0</v>
      </c>
      <c r="CF78" s="149"/>
      <c r="CG78" s="149"/>
      <c r="CH78" s="149"/>
    </row>
    <row r="79" spans="1:86">
      <c r="A79" s="71">
        <v>75</v>
      </c>
      <c r="B79" s="137" t="s">
        <v>30</v>
      </c>
      <c r="C79" s="74" t="s">
        <v>175</v>
      </c>
      <c r="D79" s="107" t="s">
        <v>123</v>
      </c>
      <c r="E79" s="69"/>
      <c r="F79" s="71"/>
      <c r="G79" s="71"/>
      <c r="H79" s="71"/>
      <c r="I79" s="71"/>
      <c r="J79" s="144"/>
      <c r="K79" s="82"/>
      <c r="L79" s="84"/>
      <c r="M79" s="84"/>
      <c r="N79" s="84"/>
      <c r="O79" s="84"/>
      <c r="P79" s="144"/>
      <c r="Q79" s="82"/>
      <c r="R79" s="84"/>
      <c r="S79" s="84"/>
      <c r="T79" s="84"/>
      <c r="U79" s="84"/>
      <c r="V79" s="144"/>
      <c r="W79" s="95"/>
      <c r="X79" s="71"/>
      <c r="Y79" s="71"/>
      <c r="Z79" s="71"/>
      <c r="AA79" s="71"/>
      <c r="AB79" s="138"/>
      <c r="AC79" s="95"/>
      <c r="AD79" s="71">
        <v>2</v>
      </c>
      <c r="AE79" s="71"/>
      <c r="AF79" s="71"/>
      <c r="AG79" s="71"/>
      <c r="AH79" s="138"/>
      <c r="AI79" s="95"/>
      <c r="AJ79" s="71">
        <v>1</v>
      </c>
      <c r="AK79" s="71"/>
      <c r="AL79" s="71"/>
      <c r="AM79" s="71"/>
      <c r="AN79" s="138"/>
      <c r="AO79" s="69"/>
      <c r="AP79" s="71"/>
      <c r="AQ79" s="71"/>
      <c r="AR79" s="71"/>
      <c r="AS79" s="71"/>
      <c r="AT79" s="138"/>
      <c r="AU79" s="69"/>
      <c r="AV79" s="71"/>
      <c r="AW79" s="71"/>
      <c r="AX79" s="71"/>
      <c r="AY79" s="71"/>
      <c r="AZ79" s="138"/>
      <c r="BA79" s="69"/>
      <c r="BB79" s="71"/>
      <c r="BC79" s="71"/>
      <c r="BD79" s="71"/>
      <c r="BE79" s="71"/>
      <c r="BF79" s="138"/>
      <c r="BG79" s="69"/>
      <c r="BH79" s="71"/>
      <c r="BI79" s="71"/>
      <c r="BJ79" s="71"/>
      <c r="BK79" s="71"/>
      <c r="BL79" s="138"/>
      <c r="BM79" s="69"/>
      <c r="BN79" s="71">
        <v>0.5</v>
      </c>
      <c r="BO79" s="71"/>
      <c r="BP79" s="71"/>
      <c r="BQ79" s="71"/>
      <c r="BR79" s="138"/>
      <c r="BS79" s="69"/>
      <c r="BT79" s="71"/>
      <c r="BU79" s="71"/>
      <c r="BV79" s="71"/>
      <c r="BW79" s="71"/>
      <c r="BX79" s="138"/>
      <c r="BZ79" s="139">
        <f t="shared" si="2"/>
        <v>0</v>
      </c>
      <c r="CA79" s="140">
        <f t="shared" si="2"/>
        <v>3.5</v>
      </c>
      <c r="CB79" s="140">
        <f t="shared" si="2"/>
        <v>0</v>
      </c>
      <c r="CC79" s="140">
        <f t="shared" si="2"/>
        <v>0</v>
      </c>
      <c r="CD79" s="147">
        <f t="shared" si="2"/>
        <v>0</v>
      </c>
      <c r="CE79" s="148">
        <f t="shared" si="2"/>
        <v>0</v>
      </c>
      <c r="CF79" s="149"/>
      <c r="CG79" s="149"/>
      <c r="CH79" s="149"/>
    </row>
    <row r="80" spans="1:86">
      <c r="A80" s="71">
        <v>76</v>
      </c>
      <c r="B80" s="137" t="s">
        <v>36</v>
      </c>
      <c r="C80" s="74" t="s">
        <v>177</v>
      </c>
      <c r="D80" s="107" t="s">
        <v>178</v>
      </c>
      <c r="E80" s="69"/>
      <c r="F80" s="71">
        <v>1</v>
      </c>
      <c r="G80" s="71"/>
      <c r="H80" s="71"/>
      <c r="I80" s="71"/>
      <c r="J80" s="144"/>
      <c r="K80" s="82"/>
      <c r="L80" s="84"/>
      <c r="M80" s="84"/>
      <c r="N80" s="84"/>
      <c r="O80" s="84"/>
      <c r="P80" s="144"/>
      <c r="Q80" s="82"/>
      <c r="R80" s="84"/>
      <c r="S80" s="84"/>
      <c r="T80" s="84">
        <v>1</v>
      </c>
      <c r="U80" s="84"/>
      <c r="V80" s="144"/>
      <c r="W80" s="95"/>
      <c r="X80" s="71">
        <v>1</v>
      </c>
      <c r="Y80" s="71"/>
      <c r="Z80" s="71"/>
      <c r="AA80" s="71">
        <v>1</v>
      </c>
      <c r="AB80" s="138"/>
      <c r="AC80" s="95"/>
      <c r="AD80" s="71"/>
      <c r="AE80" s="71"/>
      <c r="AF80" s="71"/>
      <c r="AG80" s="71"/>
      <c r="AH80" s="138"/>
      <c r="AI80" s="95"/>
      <c r="AJ80" s="71"/>
      <c r="AK80" s="71"/>
      <c r="AL80" s="71"/>
      <c r="AM80" s="71"/>
      <c r="AN80" s="138"/>
      <c r="AO80" s="69"/>
      <c r="AP80" s="71">
        <v>4</v>
      </c>
      <c r="AQ80" s="71"/>
      <c r="AR80" s="71"/>
      <c r="AS80" s="71"/>
      <c r="AT80" s="138"/>
      <c r="AU80" s="69"/>
      <c r="AV80" s="71"/>
      <c r="AW80" s="71"/>
      <c r="AX80" s="71"/>
      <c r="AY80" s="71"/>
      <c r="AZ80" s="138"/>
      <c r="BA80" s="69"/>
      <c r="BB80" s="71"/>
      <c r="BC80" s="71"/>
      <c r="BD80" s="71"/>
      <c r="BE80" s="71"/>
      <c r="BF80" s="138"/>
      <c r="BG80" s="69"/>
      <c r="BH80" s="71"/>
      <c r="BI80" s="71"/>
      <c r="BJ80" s="71"/>
      <c r="BK80" s="71">
        <v>1</v>
      </c>
      <c r="BL80" s="138"/>
      <c r="BM80" s="69"/>
      <c r="BN80" s="71"/>
      <c r="BO80" s="71"/>
      <c r="BP80" s="71"/>
      <c r="BQ80" s="71"/>
      <c r="BR80" s="138"/>
      <c r="BS80" s="69"/>
      <c r="BT80" s="71"/>
      <c r="BU80" s="71"/>
      <c r="BV80" s="71"/>
      <c r="BW80" s="71">
        <v>2</v>
      </c>
      <c r="BX80" s="138"/>
      <c r="BZ80" s="139">
        <f t="shared" si="2"/>
        <v>0</v>
      </c>
      <c r="CA80" s="140">
        <f t="shared" si="2"/>
        <v>6</v>
      </c>
      <c r="CB80" s="140">
        <f t="shared" si="2"/>
        <v>0</v>
      </c>
      <c r="CC80" s="140">
        <f t="shared" si="2"/>
        <v>1</v>
      </c>
      <c r="CD80" s="147">
        <f t="shared" si="2"/>
        <v>4</v>
      </c>
      <c r="CE80" s="148">
        <f t="shared" si="2"/>
        <v>0</v>
      </c>
      <c r="CF80" s="149"/>
      <c r="CG80" s="149"/>
      <c r="CH80" s="149"/>
    </row>
    <row r="81" spans="1:86">
      <c r="A81" s="71">
        <v>77</v>
      </c>
      <c r="B81" s="137" t="s">
        <v>36</v>
      </c>
      <c r="C81" s="74" t="s">
        <v>179</v>
      </c>
      <c r="D81" s="107" t="s">
        <v>111</v>
      </c>
      <c r="E81" s="69"/>
      <c r="F81" s="71"/>
      <c r="G81" s="71"/>
      <c r="H81" s="71"/>
      <c r="I81" s="71"/>
      <c r="J81" s="144"/>
      <c r="K81" s="82">
        <v>2</v>
      </c>
      <c r="L81" s="84"/>
      <c r="M81" s="84"/>
      <c r="N81" s="84"/>
      <c r="O81" s="84"/>
      <c r="P81" s="144"/>
      <c r="Q81" s="82"/>
      <c r="R81" s="84">
        <v>0.5</v>
      </c>
      <c r="S81" s="84"/>
      <c r="T81" s="84"/>
      <c r="U81" s="84">
        <v>1</v>
      </c>
      <c r="V81" s="144"/>
      <c r="W81" s="95"/>
      <c r="X81" s="71">
        <v>0.5</v>
      </c>
      <c r="Y81" s="71"/>
      <c r="Z81" s="71">
        <v>0.5</v>
      </c>
      <c r="AA81" s="71"/>
      <c r="AB81" s="138"/>
      <c r="AC81" s="95">
        <v>1</v>
      </c>
      <c r="AD81" s="71"/>
      <c r="AE81" s="71"/>
      <c r="AF81" s="71"/>
      <c r="AG81" s="71">
        <v>1</v>
      </c>
      <c r="AH81" s="138"/>
      <c r="AI81" s="95"/>
      <c r="AJ81" s="71"/>
      <c r="AK81" s="71"/>
      <c r="AL81" s="71"/>
      <c r="AM81" s="71"/>
      <c r="AN81" s="138"/>
      <c r="AO81" s="69"/>
      <c r="AP81" s="71">
        <v>0.5</v>
      </c>
      <c r="AQ81" s="71"/>
      <c r="AR81" s="71"/>
      <c r="AS81" s="71"/>
      <c r="AT81" s="138"/>
      <c r="AU81" s="69">
        <v>1</v>
      </c>
      <c r="AV81" s="71"/>
      <c r="AW81" s="71"/>
      <c r="AX81" s="71"/>
      <c r="AY81" s="71"/>
      <c r="AZ81" s="138"/>
      <c r="BA81" s="69"/>
      <c r="BB81" s="71">
        <v>1.5</v>
      </c>
      <c r="BC81" s="71"/>
      <c r="BD81" s="71"/>
      <c r="BE81" s="71"/>
      <c r="BF81" s="138"/>
      <c r="BG81" s="69"/>
      <c r="BH81" s="71">
        <v>2</v>
      </c>
      <c r="BI81" s="71"/>
      <c r="BJ81" s="71"/>
      <c r="BK81" s="71">
        <v>1</v>
      </c>
      <c r="BL81" s="138"/>
      <c r="BM81" s="69"/>
      <c r="BN81" s="71"/>
      <c r="BO81" s="71"/>
      <c r="BP81" s="71"/>
      <c r="BQ81" s="71"/>
      <c r="BR81" s="138"/>
      <c r="BS81" s="69">
        <v>1</v>
      </c>
      <c r="BT81" s="71"/>
      <c r="BU81" s="71"/>
      <c r="BV81" s="71"/>
      <c r="BW81" s="71">
        <v>1</v>
      </c>
      <c r="BX81" s="138"/>
      <c r="BZ81" s="139">
        <f t="shared" si="2"/>
        <v>5</v>
      </c>
      <c r="CA81" s="140">
        <f t="shared" si="2"/>
        <v>5</v>
      </c>
      <c r="CB81" s="140">
        <f t="shared" si="2"/>
        <v>0</v>
      </c>
      <c r="CC81" s="140">
        <f t="shared" si="2"/>
        <v>0.5</v>
      </c>
      <c r="CD81" s="147">
        <f t="shared" si="2"/>
        <v>4</v>
      </c>
      <c r="CE81" s="148">
        <f t="shared" si="2"/>
        <v>0</v>
      </c>
      <c r="CF81" s="149"/>
      <c r="CG81" s="149"/>
      <c r="CH81" s="149"/>
    </row>
    <row r="82" spans="1:86">
      <c r="A82" s="71">
        <v>78</v>
      </c>
      <c r="B82" s="137" t="s">
        <v>26</v>
      </c>
      <c r="C82" s="74" t="s">
        <v>180</v>
      </c>
      <c r="D82" s="107" t="s">
        <v>136</v>
      </c>
      <c r="E82" s="69">
        <v>2</v>
      </c>
      <c r="F82" s="71"/>
      <c r="G82" s="71"/>
      <c r="H82" s="71"/>
      <c r="I82" s="71">
        <v>1</v>
      </c>
      <c r="J82" s="138"/>
      <c r="K82" s="69">
        <v>1</v>
      </c>
      <c r="L82" s="71"/>
      <c r="M82" s="71"/>
      <c r="N82" s="71"/>
      <c r="O82" s="71">
        <v>1</v>
      </c>
      <c r="P82" s="138"/>
      <c r="Q82" s="69">
        <v>2</v>
      </c>
      <c r="R82" s="71"/>
      <c r="S82" s="71"/>
      <c r="T82" s="71"/>
      <c r="U82" s="71">
        <v>2</v>
      </c>
      <c r="V82" s="138"/>
      <c r="W82" s="95">
        <v>1</v>
      </c>
      <c r="X82" s="71"/>
      <c r="Y82" s="71"/>
      <c r="Z82" s="71"/>
      <c r="AA82" s="71">
        <v>1</v>
      </c>
      <c r="AB82" s="138">
        <v>1.3888888888888889E-3</v>
      </c>
      <c r="AC82" s="95">
        <v>1</v>
      </c>
      <c r="AD82" s="71">
        <v>1.5</v>
      </c>
      <c r="AE82" s="71"/>
      <c r="AF82" s="71"/>
      <c r="AG82" s="71"/>
      <c r="AH82" s="138"/>
      <c r="AI82" s="95">
        <v>9</v>
      </c>
      <c r="AJ82" s="71">
        <v>3</v>
      </c>
      <c r="AK82" s="71"/>
      <c r="AL82" s="71"/>
      <c r="AM82" s="71"/>
      <c r="AN82" s="138"/>
      <c r="AO82" s="69"/>
      <c r="AP82" s="71">
        <v>0.5</v>
      </c>
      <c r="AQ82" s="71"/>
      <c r="AR82" s="71"/>
      <c r="AS82" s="71"/>
      <c r="AT82" s="138"/>
      <c r="AU82" s="69">
        <v>2</v>
      </c>
      <c r="AV82" s="71"/>
      <c r="AW82" s="71"/>
      <c r="AX82" s="71">
        <v>0.5</v>
      </c>
      <c r="AY82" s="71"/>
      <c r="AZ82" s="138"/>
      <c r="BA82" s="69">
        <v>1.5</v>
      </c>
      <c r="BB82" s="71"/>
      <c r="BC82" s="71"/>
      <c r="BD82" s="71"/>
      <c r="BE82" s="71"/>
      <c r="BF82" s="138">
        <v>6.9444444444444447E-4</v>
      </c>
      <c r="BG82" s="69">
        <v>1</v>
      </c>
      <c r="BH82" s="71">
        <v>1</v>
      </c>
      <c r="BI82" s="71">
        <v>3</v>
      </c>
      <c r="BJ82" s="71">
        <v>2</v>
      </c>
      <c r="BK82" s="71"/>
      <c r="BL82" s="138"/>
      <c r="BM82" s="69">
        <v>1</v>
      </c>
      <c r="BN82" s="71"/>
      <c r="BO82" s="71">
        <v>1</v>
      </c>
      <c r="BP82" s="71">
        <v>1</v>
      </c>
      <c r="BQ82" s="71"/>
      <c r="BR82" s="138"/>
      <c r="BS82" s="69">
        <v>1</v>
      </c>
      <c r="BT82" s="71"/>
      <c r="BU82" s="71">
        <v>1</v>
      </c>
      <c r="BV82" s="71"/>
      <c r="BW82" s="71"/>
      <c r="BX82" s="138">
        <v>6.9444444444444447E-4</v>
      </c>
      <c r="BZ82" s="139">
        <f t="shared" si="2"/>
        <v>22.5</v>
      </c>
      <c r="CA82" s="140">
        <f t="shared" si="2"/>
        <v>6</v>
      </c>
      <c r="CB82" s="140">
        <f t="shared" si="2"/>
        <v>5</v>
      </c>
      <c r="CC82" s="140">
        <f t="shared" si="2"/>
        <v>3.5</v>
      </c>
      <c r="CD82" s="147">
        <f t="shared" si="2"/>
        <v>5</v>
      </c>
      <c r="CE82" s="148">
        <f t="shared" si="2"/>
        <v>2.7777777777777779E-3</v>
      </c>
      <c r="CF82" s="149"/>
      <c r="CG82" s="149"/>
      <c r="CH82" s="149"/>
    </row>
    <row r="83" spans="1:86">
      <c r="A83" s="71">
        <v>79</v>
      </c>
      <c r="B83" s="137" t="s">
        <v>26</v>
      </c>
      <c r="C83" s="74" t="s">
        <v>181</v>
      </c>
      <c r="D83" s="14" t="s">
        <v>123</v>
      </c>
      <c r="E83" s="69">
        <v>2</v>
      </c>
      <c r="F83" s="71">
        <v>0.5</v>
      </c>
      <c r="G83" s="71"/>
      <c r="H83" s="71"/>
      <c r="I83" s="71"/>
      <c r="J83" s="138"/>
      <c r="K83" s="69"/>
      <c r="L83" s="71"/>
      <c r="M83" s="71"/>
      <c r="N83" s="71"/>
      <c r="O83" s="71"/>
      <c r="P83" s="138"/>
      <c r="Q83" s="69"/>
      <c r="R83" s="71"/>
      <c r="S83" s="71"/>
      <c r="T83" s="71">
        <v>0.5</v>
      </c>
      <c r="U83" s="71">
        <v>1</v>
      </c>
      <c r="V83" s="138"/>
      <c r="W83" s="95">
        <v>2.5</v>
      </c>
      <c r="X83" s="71"/>
      <c r="Y83" s="71"/>
      <c r="Z83" s="71"/>
      <c r="AA83" s="71"/>
      <c r="AB83" s="138"/>
      <c r="AC83" s="95">
        <v>1</v>
      </c>
      <c r="AD83" s="71"/>
      <c r="AE83" s="71"/>
      <c r="AF83" s="71">
        <v>0.5</v>
      </c>
      <c r="AG83" s="71"/>
      <c r="AH83" s="138"/>
      <c r="AI83" s="95"/>
      <c r="AJ83" s="71"/>
      <c r="AK83" s="71"/>
      <c r="AL83" s="71"/>
      <c r="AM83" s="71"/>
      <c r="AN83" s="138"/>
      <c r="AO83" s="69"/>
      <c r="AP83" s="71"/>
      <c r="AQ83" s="71"/>
      <c r="AR83" s="71"/>
      <c r="AS83" s="71"/>
      <c r="AT83" s="138"/>
      <c r="AU83" s="69"/>
      <c r="AV83" s="71">
        <v>5.5</v>
      </c>
      <c r="AW83" s="71">
        <v>1.5</v>
      </c>
      <c r="AX83" s="71">
        <v>0.5</v>
      </c>
      <c r="AY83" s="71"/>
      <c r="AZ83" s="138"/>
      <c r="BA83" s="69">
        <v>0.5</v>
      </c>
      <c r="BB83" s="71"/>
      <c r="BC83" s="71"/>
      <c r="BD83" s="71"/>
      <c r="BE83" s="71"/>
      <c r="BF83" s="138"/>
      <c r="BG83" s="69"/>
      <c r="BH83" s="71"/>
      <c r="BI83" s="71">
        <v>5</v>
      </c>
      <c r="BJ83" s="71">
        <v>0.5</v>
      </c>
      <c r="BK83" s="71">
        <v>1</v>
      </c>
      <c r="BL83" s="138"/>
      <c r="BM83" s="69"/>
      <c r="BN83" s="71"/>
      <c r="BO83" s="71"/>
      <c r="BP83" s="71"/>
      <c r="BQ83" s="71"/>
      <c r="BR83" s="138"/>
      <c r="BS83" s="69"/>
      <c r="BT83" s="71"/>
      <c r="BU83" s="71"/>
      <c r="BV83" s="71"/>
      <c r="BW83" s="71"/>
      <c r="BX83" s="138"/>
      <c r="BZ83" s="139">
        <f t="shared" si="2"/>
        <v>6</v>
      </c>
      <c r="CA83" s="140">
        <f t="shared" si="2"/>
        <v>6</v>
      </c>
      <c r="CB83" s="140">
        <f t="shared" si="2"/>
        <v>6.5</v>
      </c>
      <c r="CC83" s="140">
        <f t="shared" si="2"/>
        <v>2</v>
      </c>
      <c r="CD83" s="147">
        <f t="shared" si="2"/>
        <v>2</v>
      </c>
      <c r="CE83" s="148">
        <f t="shared" si="2"/>
        <v>0</v>
      </c>
      <c r="CF83" s="149"/>
      <c r="CG83" s="149"/>
      <c r="CH83" s="149"/>
    </row>
    <row r="84" spans="1:86">
      <c r="A84" s="71">
        <v>80</v>
      </c>
      <c r="B84" s="137" t="s">
        <v>26</v>
      </c>
      <c r="C84" s="216" t="s">
        <v>208</v>
      </c>
      <c r="D84" s="14" t="s">
        <v>246</v>
      </c>
      <c r="E84" s="69"/>
      <c r="F84" s="71"/>
      <c r="G84" s="71"/>
      <c r="H84" s="71"/>
      <c r="I84" s="71"/>
      <c r="J84" s="138"/>
      <c r="K84" s="69"/>
      <c r="L84" s="71"/>
      <c r="M84" s="71"/>
      <c r="N84" s="71"/>
      <c r="O84" s="71"/>
      <c r="P84" s="138"/>
      <c r="Q84" s="69"/>
      <c r="R84" s="71"/>
      <c r="S84" s="71"/>
      <c r="T84" s="71"/>
      <c r="U84" s="71"/>
      <c r="V84" s="138"/>
      <c r="W84" s="69"/>
      <c r="X84" s="71"/>
      <c r="Y84" s="71"/>
      <c r="Z84" s="71"/>
      <c r="AA84" s="71"/>
      <c r="AB84" s="138"/>
      <c r="AC84" s="69"/>
      <c r="AD84" s="71"/>
      <c r="AE84" s="71"/>
      <c r="AF84" s="71"/>
      <c r="AG84" s="71"/>
      <c r="AH84" s="138"/>
      <c r="AI84" s="69"/>
      <c r="AJ84" s="71"/>
      <c r="AK84" s="71"/>
      <c r="AL84" s="71"/>
      <c r="AM84" s="71"/>
      <c r="AN84" s="138"/>
      <c r="AO84" s="69"/>
      <c r="AP84" s="71"/>
      <c r="AQ84" s="71"/>
      <c r="AR84" s="71"/>
      <c r="AS84" s="71"/>
      <c r="AT84" s="138"/>
      <c r="AU84" s="69"/>
      <c r="AV84" s="71">
        <v>1</v>
      </c>
      <c r="AW84" s="71"/>
      <c r="AX84" s="71"/>
      <c r="AY84" s="71"/>
      <c r="AZ84" s="138"/>
      <c r="BA84" s="69"/>
      <c r="BB84" s="71"/>
      <c r="BC84" s="71"/>
      <c r="BD84" s="71"/>
      <c r="BE84" s="71"/>
      <c r="BF84" s="138"/>
      <c r="BG84" s="69"/>
      <c r="BH84" s="71"/>
      <c r="BI84" s="71"/>
      <c r="BJ84" s="71"/>
      <c r="BK84" s="71"/>
      <c r="BL84" s="138"/>
      <c r="BM84" s="69"/>
      <c r="BN84" s="71">
        <v>1</v>
      </c>
      <c r="BO84" s="71"/>
      <c r="BP84" s="71"/>
      <c r="BQ84" s="71"/>
      <c r="BR84" s="138">
        <v>6.9444444444444447E-4</v>
      </c>
      <c r="BS84" s="69"/>
      <c r="BT84" s="71">
        <v>1</v>
      </c>
      <c r="BU84" s="71"/>
      <c r="BV84" s="71"/>
      <c r="BW84" s="71"/>
      <c r="BX84" s="138"/>
      <c r="BZ84" s="139">
        <f t="shared" si="2"/>
        <v>0</v>
      </c>
      <c r="CA84" s="140">
        <f t="shared" si="2"/>
        <v>3</v>
      </c>
      <c r="CB84" s="140">
        <f t="shared" si="2"/>
        <v>0</v>
      </c>
      <c r="CC84" s="140">
        <f t="shared" si="2"/>
        <v>0</v>
      </c>
      <c r="CD84" s="141">
        <f t="shared" si="2"/>
        <v>0</v>
      </c>
      <c r="CE84" s="142">
        <f t="shared" si="2"/>
        <v>6.9444444444444447E-4</v>
      </c>
      <c r="CF84" s="149"/>
      <c r="CG84" s="149"/>
      <c r="CH84" s="149"/>
    </row>
    <row r="85" spans="1:86">
      <c r="A85" s="71">
        <v>81</v>
      </c>
      <c r="B85" s="137" t="s">
        <v>26</v>
      </c>
      <c r="C85" s="216" t="s">
        <v>237</v>
      </c>
      <c r="D85" s="14" t="s">
        <v>232</v>
      </c>
      <c r="E85" s="69"/>
      <c r="F85" s="71"/>
      <c r="G85" s="71"/>
      <c r="H85" s="71"/>
      <c r="I85" s="71"/>
      <c r="J85" s="138"/>
      <c r="K85" s="69"/>
      <c r="L85" s="71"/>
      <c r="M85" s="71"/>
      <c r="N85" s="71"/>
      <c r="O85" s="71"/>
      <c r="P85" s="138"/>
      <c r="Q85" s="69"/>
      <c r="R85" s="71"/>
      <c r="S85" s="71"/>
      <c r="T85" s="71"/>
      <c r="U85" s="71"/>
      <c r="V85" s="138"/>
      <c r="W85" s="69"/>
      <c r="X85" s="71"/>
      <c r="Y85" s="71"/>
      <c r="Z85" s="71"/>
      <c r="AA85" s="71"/>
      <c r="AB85" s="138"/>
      <c r="AC85" s="69"/>
      <c r="AD85" s="71"/>
      <c r="AE85" s="71"/>
      <c r="AF85" s="71"/>
      <c r="AG85" s="71"/>
      <c r="AH85" s="138"/>
      <c r="AI85" s="69"/>
      <c r="AJ85" s="71"/>
      <c r="AK85" s="71"/>
      <c r="AL85" s="71"/>
      <c r="AM85" s="71"/>
      <c r="AN85" s="138"/>
      <c r="AO85" s="69"/>
      <c r="AP85" s="71"/>
      <c r="AQ85" s="71"/>
      <c r="AR85" s="71"/>
      <c r="AS85" s="71"/>
      <c r="AT85" s="138"/>
      <c r="AU85" s="69"/>
      <c r="AV85" s="71">
        <v>2</v>
      </c>
      <c r="AW85" s="71"/>
      <c r="AX85" s="71"/>
      <c r="AY85" s="71"/>
      <c r="AZ85" s="138"/>
      <c r="BA85" s="69"/>
      <c r="BB85" s="71">
        <v>1</v>
      </c>
      <c r="BC85" s="71"/>
      <c r="BD85" s="71"/>
      <c r="BE85" s="71"/>
      <c r="BF85" s="138"/>
      <c r="BG85" s="69"/>
      <c r="BH85" s="71"/>
      <c r="BI85" s="71"/>
      <c r="BJ85" s="71"/>
      <c r="BK85" s="71"/>
      <c r="BL85" s="138"/>
      <c r="BM85" s="69"/>
      <c r="BN85" s="71">
        <v>1</v>
      </c>
      <c r="BO85" s="71"/>
      <c r="BP85" s="71"/>
      <c r="BQ85" s="71"/>
      <c r="BR85" s="138"/>
      <c r="BS85" s="69"/>
      <c r="BT85" s="71"/>
      <c r="BU85" s="71"/>
      <c r="BV85" s="71"/>
      <c r="BW85" s="71"/>
      <c r="BX85" s="138"/>
      <c r="BZ85" s="139">
        <f t="shared" si="2"/>
        <v>0</v>
      </c>
      <c r="CA85" s="140">
        <f t="shared" si="2"/>
        <v>4</v>
      </c>
      <c r="CB85" s="140">
        <f t="shared" si="2"/>
        <v>0</v>
      </c>
      <c r="CC85" s="140">
        <f t="shared" si="2"/>
        <v>0</v>
      </c>
      <c r="CD85" s="141">
        <f t="shared" si="2"/>
        <v>0</v>
      </c>
      <c r="CE85" s="142">
        <f t="shared" si="2"/>
        <v>0</v>
      </c>
      <c r="CF85" s="149"/>
      <c r="CG85" s="149"/>
      <c r="CH85" s="149"/>
    </row>
    <row r="86" spans="1:86">
      <c r="A86" s="71">
        <v>82</v>
      </c>
      <c r="B86" s="137" t="s">
        <v>30</v>
      </c>
      <c r="C86" s="74" t="s">
        <v>238</v>
      </c>
      <c r="D86" s="14" t="s">
        <v>233</v>
      </c>
      <c r="E86" s="69"/>
      <c r="F86" s="71"/>
      <c r="G86" s="71"/>
      <c r="H86" s="71"/>
      <c r="I86" s="71"/>
      <c r="J86" s="138"/>
      <c r="K86" s="69"/>
      <c r="L86" s="71"/>
      <c r="M86" s="71"/>
      <c r="N86" s="71"/>
      <c r="O86" s="71"/>
      <c r="P86" s="138"/>
      <c r="Q86" s="69"/>
      <c r="R86" s="71"/>
      <c r="S86" s="71"/>
      <c r="T86" s="71"/>
      <c r="U86" s="71"/>
      <c r="V86" s="138"/>
      <c r="W86" s="95"/>
      <c r="X86" s="71"/>
      <c r="Y86" s="71"/>
      <c r="Z86" s="71"/>
      <c r="AA86" s="71"/>
      <c r="AB86" s="138"/>
      <c r="AC86" s="95"/>
      <c r="AD86" s="71"/>
      <c r="AE86" s="71"/>
      <c r="AF86" s="71"/>
      <c r="AG86" s="71"/>
      <c r="AH86" s="138"/>
      <c r="AI86" s="95"/>
      <c r="AJ86" s="71"/>
      <c r="AK86" s="71"/>
      <c r="AL86" s="71"/>
      <c r="AM86" s="71"/>
      <c r="AN86" s="138"/>
      <c r="AO86" s="69"/>
      <c r="AP86" s="71"/>
      <c r="AQ86" s="71"/>
      <c r="AR86" s="71"/>
      <c r="AS86" s="71"/>
      <c r="AT86" s="138"/>
      <c r="AU86" s="69"/>
      <c r="AV86" s="71"/>
      <c r="AW86" s="71"/>
      <c r="AX86" s="71"/>
      <c r="AY86" s="71"/>
      <c r="AZ86" s="138"/>
      <c r="BA86" s="69"/>
      <c r="BB86" s="71"/>
      <c r="BC86" s="71"/>
      <c r="BD86" s="71"/>
      <c r="BE86" s="71"/>
      <c r="BF86" s="138"/>
      <c r="BG86" s="69"/>
      <c r="BH86" s="71">
        <v>2</v>
      </c>
      <c r="BI86" s="71"/>
      <c r="BJ86" s="71"/>
      <c r="BK86" s="71"/>
      <c r="BL86" s="138"/>
      <c r="BM86" s="69"/>
      <c r="BN86" s="71"/>
      <c r="BO86" s="71"/>
      <c r="BP86" s="71"/>
      <c r="BQ86" s="71"/>
      <c r="BR86" s="138"/>
      <c r="BS86" s="69"/>
      <c r="BT86" s="71"/>
      <c r="BU86" s="71"/>
      <c r="BV86" s="71"/>
      <c r="BW86" s="71"/>
      <c r="BX86" s="138"/>
      <c r="BZ86" s="139">
        <f t="shared" si="2"/>
        <v>0</v>
      </c>
      <c r="CA86" s="140">
        <f t="shared" si="2"/>
        <v>2</v>
      </c>
      <c r="CB86" s="140">
        <f t="shared" si="2"/>
        <v>0</v>
      </c>
      <c r="CC86" s="140">
        <f t="shared" si="2"/>
        <v>0</v>
      </c>
      <c r="CD86" s="147">
        <f t="shared" si="2"/>
        <v>0</v>
      </c>
      <c r="CE86" s="148">
        <f t="shared" si="2"/>
        <v>0</v>
      </c>
      <c r="CF86" s="149"/>
      <c r="CG86" s="149"/>
      <c r="CH86" s="149"/>
    </row>
    <row r="87" spans="1:86">
      <c r="A87" s="71">
        <v>83</v>
      </c>
      <c r="B87" s="137" t="s">
        <v>26</v>
      </c>
      <c r="C87" s="74" t="s">
        <v>239</v>
      </c>
      <c r="D87" s="14" t="s">
        <v>234</v>
      </c>
      <c r="E87" s="69"/>
      <c r="F87" s="71"/>
      <c r="G87" s="71"/>
      <c r="H87" s="71"/>
      <c r="I87" s="71"/>
      <c r="J87" s="138"/>
      <c r="K87" s="69"/>
      <c r="L87" s="71"/>
      <c r="M87" s="71"/>
      <c r="N87" s="71"/>
      <c r="O87" s="71"/>
      <c r="P87" s="138"/>
      <c r="Q87" s="69"/>
      <c r="R87" s="71"/>
      <c r="S87" s="71"/>
      <c r="T87" s="71"/>
      <c r="U87" s="71"/>
      <c r="V87" s="138"/>
      <c r="W87" s="95"/>
      <c r="X87" s="71"/>
      <c r="Y87" s="71"/>
      <c r="Z87" s="71"/>
      <c r="AA87" s="71"/>
      <c r="AB87" s="138"/>
      <c r="AC87" s="95"/>
      <c r="AD87" s="71"/>
      <c r="AE87" s="71"/>
      <c r="AF87" s="71"/>
      <c r="AG87" s="71"/>
      <c r="AH87" s="138"/>
      <c r="AI87" s="95"/>
      <c r="AJ87" s="71"/>
      <c r="AK87" s="71"/>
      <c r="AL87" s="71"/>
      <c r="AM87" s="71"/>
      <c r="AN87" s="138"/>
      <c r="AO87" s="69"/>
      <c r="AP87" s="71"/>
      <c r="AQ87" s="71"/>
      <c r="AR87" s="71"/>
      <c r="AS87" s="71"/>
      <c r="AT87" s="138"/>
      <c r="AU87" s="69"/>
      <c r="AV87" s="71"/>
      <c r="AW87" s="71"/>
      <c r="AX87" s="71"/>
      <c r="AY87" s="71"/>
      <c r="AZ87" s="138"/>
      <c r="BA87" s="69"/>
      <c r="BB87" s="71"/>
      <c r="BC87" s="71"/>
      <c r="BD87" s="71"/>
      <c r="BE87" s="71"/>
      <c r="BF87" s="138"/>
      <c r="BG87" s="69"/>
      <c r="BH87" s="71"/>
      <c r="BI87" s="71"/>
      <c r="BJ87" s="71"/>
      <c r="BK87" s="71"/>
      <c r="BL87" s="138"/>
      <c r="BM87" s="69"/>
      <c r="BN87" s="71">
        <v>1</v>
      </c>
      <c r="BO87" s="71"/>
      <c r="BP87" s="71"/>
      <c r="BQ87" s="71"/>
      <c r="BR87" s="138"/>
      <c r="BS87" s="69"/>
      <c r="BT87" s="71"/>
      <c r="BU87" s="71"/>
      <c r="BV87" s="71"/>
      <c r="BW87" s="71"/>
      <c r="BX87" s="138"/>
      <c r="BZ87" s="139">
        <f t="shared" si="2"/>
        <v>0</v>
      </c>
      <c r="CA87" s="140">
        <f t="shared" si="2"/>
        <v>1</v>
      </c>
      <c r="CB87" s="140">
        <f t="shared" si="2"/>
        <v>0</v>
      </c>
      <c r="CC87" s="140">
        <f t="shared" si="2"/>
        <v>0</v>
      </c>
      <c r="CD87" s="147">
        <f t="shared" si="2"/>
        <v>0</v>
      </c>
      <c r="CE87" s="148">
        <f t="shared" si="2"/>
        <v>0</v>
      </c>
      <c r="CF87" s="149"/>
      <c r="CG87" s="149"/>
      <c r="CH87" s="149"/>
    </row>
    <row r="88" spans="1:86">
      <c r="A88" s="71">
        <v>84</v>
      </c>
      <c r="B88" s="137" t="s">
        <v>26</v>
      </c>
      <c r="C88" s="74" t="s">
        <v>240</v>
      </c>
      <c r="D88" s="14" t="s">
        <v>116</v>
      </c>
      <c r="E88" s="69"/>
      <c r="F88" s="71"/>
      <c r="G88" s="71"/>
      <c r="H88" s="71"/>
      <c r="I88" s="71"/>
      <c r="J88" s="138"/>
      <c r="K88" s="69"/>
      <c r="L88" s="71"/>
      <c r="M88" s="71"/>
      <c r="N88" s="71"/>
      <c r="O88" s="71"/>
      <c r="P88" s="138"/>
      <c r="Q88" s="69"/>
      <c r="R88" s="71"/>
      <c r="S88" s="71"/>
      <c r="T88" s="71"/>
      <c r="U88" s="71"/>
      <c r="V88" s="138"/>
      <c r="W88" s="95"/>
      <c r="X88" s="71"/>
      <c r="Y88" s="71"/>
      <c r="Z88" s="71"/>
      <c r="AA88" s="71"/>
      <c r="AB88" s="138"/>
      <c r="AC88" s="95"/>
      <c r="AD88" s="71"/>
      <c r="AE88" s="71"/>
      <c r="AF88" s="71"/>
      <c r="AG88" s="71"/>
      <c r="AH88" s="138"/>
      <c r="AI88" s="95"/>
      <c r="AJ88" s="71"/>
      <c r="AK88" s="71"/>
      <c r="AL88" s="71"/>
      <c r="AM88" s="71"/>
      <c r="AN88" s="138"/>
      <c r="AO88" s="69"/>
      <c r="AP88" s="71"/>
      <c r="AQ88" s="71"/>
      <c r="AR88" s="71"/>
      <c r="AS88" s="71"/>
      <c r="AT88" s="138"/>
      <c r="AU88" s="69"/>
      <c r="AV88" s="71"/>
      <c r="AW88" s="71"/>
      <c r="AX88" s="71"/>
      <c r="AY88" s="71"/>
      <c r="AZ88" s="138"/>
      <c r="BA88" s="69"/>
      <c r="BB88" s="71">
        <v>0.5</v>
      </c>
      <c r="BC88" s="71"/>
      <c r="BD88" s="71"/>
      <c r="BE88" s="71"/>
      <c r="BF88" s="138"/>
      <c r="BG88" s="69"/>
      <c r="BH88" s="71">
        <v>1</v>
      </c>
      <c r="BI88" s="71"/>
      <c r="BJ88" s="71"/>
      <c r="BK88" s="71"/>
      <c r="BL88" s="138"/>
      <c r="BM88" s="69"/>
      <c r="BN88" s="71"/>
      <c r="BO88" s="71"/>
      <c r="BP88" s="71"/>
      <c r="BQ88" s="71"/>
      <c r="BR88" s="138"/>
      <c r="BS88" s="69"/>
      <c r="BT88" s="71"/>
      <c r="BU88" s="71"/>
      <c r="BV88" s="71"/>
      <c r="BW88" s="71"/>
      <c r="BX88" s="138"/>
      <c r="BZ88" s="139">
        <f t="shared" si="2"/>
        <v>0</v>
      </c>
      <c r="CA88" s="140">
        <f t="shared" si="2"/>
        <v>1.5</v>
      </c>
      <c r="CB88" s="140">
        <f t="shared" si="2"/>
        <v>0</v>
      </c>
      <c r="CC88" s="140">
        <f t="shared" si="2"/>
        <v>0</v>
      </c>
      <c r="CD88" s="147">
        <f t="shared" si="2"/>
        <v>0</v>
      </c>
      <c r="CE88" s="148">
        <f t="shared" si="2"/>
        <v>0</v>
      </c>
      <c r="CF88" s="149"/>
      <c r="CG88" s="149"/>
      <c r="CH88" s="149"/>
    </row>
    <row r="89" spans="1:86">
      <c r="A89" s="71">
        <v>85</v>
      </c>
      <c r="B89" s="137" t="s">
        <v>26</v>
      </c>
      <c r="C89" s="74" t="s">
        <v>241</v>
      </c>
      <c r="D89" s="14" t="s">
        <v>235</v>
      </c>
      <c r="E89" s="69"/>
      <c r="F89" s="71"/>
      <c r="G89" s="71"/>
      <c r="H89" s="71"/>
      <c r="I89" s="71"/>
      <c r="J89" s="138"/>
      <c r="K89" s="69"/>
      <c r="L89" s="71"/>
      <c r="M89" s="71"/>
      <c r="N89" s="71"/>
      <c r="O89" s="71"/>
      <c r="P89" s="138"/>
      <c r="Q89" s="69"/>
      <c r="R89" s="71"/>
      <c r="S89" s="71"/>
      <c r="T89" s="71"/>
      <c r="U89" s="71"/>
      <c r="V89" s="138"/>
      <c r="W89" s="95"/>
      <c r="X89" s="71"/>
      <c r="Y89" s="71"/>
      <c r="Z89" s="71"/>
      <c r="AA89" s="71"/>
      <c r="AB89" s="138"/>
      <c r="AC89" s="95"/>
      <c r="AD89" s="71"/>
      <c r="AE89" s="71"/>
      <c r="AF89" s="71"/>
      <c r="AG89" s="71"/>
      <c r="AH89" s="138"/>
      <c r="AI89" s="95"/>
      <c r="AJ89" s="71"/>
      <c r="AK89" s="71"/>
      <c r="AL89" s="71"/>
      <c r="AM89" s="71"/>
      <c r="AN89" s="138"/>
      <c r="AO89" s="69"/>
      <c r="AP89" s="71"/>
      <c r="AQ89" s="71"/>
      <c r="AR89" s="71"/>
      <c r="AS89" s="71"/>
      <c r="AT89" s="138"/>
      <c r="AU89" s="69"/>
      <c r="AV89" s="71"/>
      <c r="AW89" s="71"/>
      <c r="AX89" s="71"/>
      <c r="AY89" s="71"/>
      <c r="AZ89" s="138"/>
      <c r="BA89" s="69"/>
      <c r="BB89" s="71"/>
      <c r="BC89" s="71"/>
      <c r="BD89" s="71">
        <v>1</v>
      </c>
      <c r="BE89" s="71"/>
      <c r="BF89" s="138"/>
      <c r="BG89" s="69"/>
      <c r="BH89" s="71">
        <v>2</v>
      </c>
      <c r="BI89" s="71"/>
      <c r="BJ89" s="71"/>
      <c r="BK89" s="71"/>
      <c r="BL89" s="138"/>
      <c r="BM89" s="69"/>
      <c r="BN89" s="71">
        <v>1</v>
      </c>
      <c r="BO89" s="71"/>
      <c r="BP89" s="71"/>
      <c r="BQ89" s="71"/>
      <c r="BR89" s="138"/>
      <c r="BS89" s="69"/>
      <c r="BT89" s="71"/>
      <c r="BU89" s="71"/>
      <c r="BV89" s="71"/>
      <c r="BW89" s="71"/>
      <c r="BX89" s="138"/>
      <c r="BZ89" s="139">
        <f t="shared" si="2"/>
        <v>0</v>
      </c>
      <c r="CA89" s="140">
        <f t="shared" si="2"/>
        <v>3</v>
      </c>
      <c r="CB89" s="140">
        <f t="shared" si="2"/>
        <v>0</v>
      </c>
      <c r="CC89" s="140">
        <f t="shared" si="2"/>
        <v>1</v>
      </c>
      <c r="CD89" s="147">
        <f t="shared" si="2"/>
        <v>0</v>
      </c>
      <c r="CE89" s="148">
        <f t="shared" si="2"/>
        <v>0</v>
      </c>
      <c r="CF89" s="149"/>
      <c r="CG89" s="149"/>
      <c r="CH89" s="149"/>
    </row>
    <row r="90" spans="1:86">
      <c r="A90" s="71">
        <v>86</v>
      </c>
      <c r="B90" s="137" t="s">
        <v>26</v>
      </c>
      <c r="C90" s="74" t="s">
        <v>242</v>
      </c>
      <c r="D90" s="14" t="s">
        <v>178</v>
      </c>
      <c r="E90" s="69"/>
      <c r="F90" s="71"/>
      <c r="G90" s="71"/>
      <c r="H90" s="71"/>
      <c r="I90" s="71"/>
      <c r="J90" s="138"/>
      <c r="K90" s="69"/>
      <c r="L90" s="71"/>
      <c r="M90" s="71"/>
      <c r="N90" s="71"/>
      <c r="O90" s="71"/>
      <c r="P90" s="138"/>
      <c r="Q90" s="69"/>
      <c r="R90" s="71"/>
      <c r="S90" s="71"/>
      <c r="T90" s="71"/>
      <c r="U90" s="71"/>
      <c r="V90" s="138"/>
      <c r="W90" s="95"/>
      <c r="X90" s="71"/>
      <c r="Y90" s="71"/>
      <c r="Z90" s="71"/>
      <c r="AA90" s="71"/>
      <c r="AB90" s="138"/>
      <c r="AC90" s="95"/>
      <c r="AD90" s="71"/>
      <c r="AE90" s="71"/>
      <c r="AF90" s="71"/>
      <c r="AG90" s="71"/>
      <c r="AH90" s="138"/>
      <c r="AI90" s="95"/>
      <c r="AJ90" s="71"/>
      <c r="AK90" s="71"/>
      <c r="AL90" s="71"/>
      <c r="AM90" s="71"/>
      <c r="AN90" s="138"/>
      <c r="AO90" s="69"/>
      <c r="AP90" s="71"/>
      <c r="AQ90" s="71"/>
      <c r="AR90" s="71"/>
      <c r="AS90" s="71"/>
      <c r="AT90" s="138"/>
      <c r="AU90" s="69"/>
      <c r="AV90" s="71"/>
      <c r="AW90" s="71"/>
      <c r="AX90" s="71"/>
      <c r="AY90" s="71"/>
      <c r="AZ90" s="138"/>
      <c r="BA90" s="69"/>
      <c r="BB90" s="71"/>
      <c r="BC90" s="71"/>
      <c r="BD90" s="71"/>
      <c r="BE90" s="71"/>
      <c r="BF90" s="138"/>
      <c r="BG90" s="69"/>
      <c r="BH90" s="71">
        <v>1</v>
      </c>
      <c r="BI90" s="71"/>
      <c r="BJ90" s="71"/>
      <c r="BK90" s="71"/>
      <c r="BL90" s="138"/>
      <c r="BM90" s="69"/>
      <c r="BN90" s="71">
        <v>1</v>
      </c>
      <c r="BO90" s="71"/>
      <c r="BP90" s="71"/>
      <c r="BQ90" s="71"/>
      <c r="BR90" s="138"/>
      <c r="BS90" s="69"/>
      <c r="BT90" s="71"/>
      <c r="BU90" s="71"/>
      <c r="BV90" s="71"/>
      <c r="BW90" s="71"/>
      <c r="BX90" s="138"/>
      <c r="BZ90" s="139">
        <f t="shared" si="2"/>
        <v>0</v>
      </c>
      <c r="CA90" s="140">
        <f t="shared" si="2"/>
        <v>2</v>
      </c>
      <c r="CB90" s="140">
        <f t="shared" si="2"/>
        <v>0</v>
      </c>
      <c r="CC90" s="140">
        <f t="shared" si="2"/>
        <v>0</v>
      </c>
      <c r="CD90" s="147">
        <f t="shared" si="2"/>
        <v>0</v>
      </c>
      <c r="CE90" s="148">
        <f t="shared" si="2"/>
        <v>0</v>
      </c>
      <c r="CF90" s="149"/>
      <c r="CG90" s="149"/>
      <c r="CH90" s="149"/>
    </row>
    <row r="91" spans="1:86">
      <c r="A91" s="71">
        <v>87</v>
      </c>
      <c r="B91" s="241" t="s">
        <v>26</v>
      </c>
      <c r="C91" s="241" t="s">
        <v>27</v>
      </c>
      <c r="D91" s="15" t="s">
        <v>28</v>
      </c>
      <c r="E91" s="69"/>
      <c r="F91" s="71"/>
      <c r="G91" s="71"/>
      <c r="H91" s="71"/>
      <c r="I91" s="71"/>
      <c r="J91" s="138"/>
      <c r="K91" s="69"/>
      <c r="L91" s="71"/>
      <c r="M91" s="71"/>
      <c r="N91" s="71"/>
      <c r="O91" s="71"/>
      <c r="P91" s="138"/>
      <c r="Q91" s="69"/>
      <c r="R91" s="71"/>
      <c r="S91" s="71"/>
      <c r="T91" s="71"/>
      <c r="U91" s="71"/>
      <c r="V91" s="138"/>
      <c r="W91" s="95"/>
      <c r="X91" s="71"/>
      <c r="Y91" s="71"/>
      <c r="Z91" s="71"/>
      <c r="AA91" s="71"/>
      <c r="AB91" s="138"/>
      <c r="AC91" s="95"/>
      <c r="AD91" s="71"/>
      <c r="AE91" s="71"/>
      <c r="AF91" s="71"/>
      <c r="AG91" s="71"/>
      <c r="AH91" s="138"/>
      <c r="AI91" s="95"/>
      <c r="AJ91" s="71"/>
      <c r="AK91" s="71"/>
      <c r="AL91" s="71"/>
      <c r="AM91" s="71"/>
      <c r="AN91" s="138"/>
      <c r="AO91" s="69"/>
      <c r="AP91" s="71"/>
      <c r="AQ91" s="71"/>
      <c r="AR91" s="71"/>
      <c r="AS91" s="71"/>
      <c r="AT91" s="138"/>
      <c r="AU91" s="69"/>
      <c r="AV91" s="71"/>
      <c r="AW91" s="71"/>
      <c r="AX91" s="71"/>
      <c r="AY91" s="71"/>
      <c r="AZ91" s="138"/>
      <c r="BA91" s="69"/>
      <c r="BB91" s="71"/>
      <c r="BC91" s="71"/>
      <c r="BD91" s="71"/>
      <c r="BE91" s="71"/>
      <c r="BF91" s="138"/>
      <c r="BG91" s="69"/>
      <c r="BH91" s="71"/>
      <c r="BI91" s="71"/>
      <c r="BJ91" s="71"/>
      <c r="BK91" s="71"/>
      <c r="BL91" s="138"/>
      <c r="BM91" s="69"/>
      <c r="BN91" s="71"/>
      <c r="BO91" s="71"/>
      <c r="BP91" s="71"/>
      <c r="BQ91" s="71"/>
      <c r="BR91" s="138"/>
      <c r="BS91" s="69"/>
      <c r="BT91" s="71"/>
      <c r="BU91" s="71"/>
      <c r="BV91" s="71"/>
      <c r="BW91" s="71"/>
      <c r="BX91" s="138"/>
      <c r="BZ91" s="247">
        <v>9.5</v>
      </c>
      <c r="CA91" s="245">
        <v>6</v>
      </c>
      <c r="CB91" s="245">
        <v>4</v>
      </c>
      <c r="CC91" s="247">
        <f>+BR118</f>
        <v>0</v>
      </c>
      <c r="CD91" s="245">
        <v>6</v>
      </c>
      <c r="CE91" s="246">
        <v>1.6666666666666666E-2</v>
      </c>
      <c r="CF91" s="149"/>
      <c r="CG91" s="149"/>
      <c r="CH91" s="149"/>
    </row>
    <row r="92" spans="1:86">
      <c r="A92" s="71">
        <v>88</v>
      </c>
      <c r="B92" s="241" t="s">
        <v>30</v>
      </c>
      <c r="C92" s="241" t="s">
        <v>31</v>
      </c>
      <c r="D92" s="39" t="s">
        <v>32</v>
      </c>
      <c r="E92" s="69"/>
      <c r="F92" s="71"/>
      <c r="G92" s="71"/>
      <c r="H92" s="71"/>
      <c r="I92" s="71"/>
      <c r="J92" s="138"/>
      <c r="K92" s="69"/>
      <c r="L92" s="71"/>
      <c r="M92" s="71"/>
      <c r="N92" s="71"/>
      <c r="O92" s="71"/>
      <c r="P92" s="138"/>
      <c r="Q92" s="69"/>
      <c r="R92" s="71"/>
      <c r="S92" s="71"/>
      <c r="T92" s="71"/>
      <c r="U92" s="71"/>
      <c r="V92" s="138"/>
      <c r="W92" s="95"/>
      <c r="X92" s="71"/>
      <c r="Y92" s="71"/>
      <c r="Z92" s="71"/>
      <c r="AA92" s="71"/>
      <c r="AB92" s="138"/>
      <c r="AC92" s="95"/>
      <c r="AD92" s="71"/>
      <c r="AE92" s="71"/>
      <c r="AF92" s="71"/>
      <c r="AG92" s="71"/>
      <c r="AH92" s="138"/>
      <c r="AI92" s="95"/>
      <c r="AJ92" s="71"/>
      <c r="AK92" s="71"/>
      <c r="AL92" s="71"/>
      <c r="AM92" s="71"/>
      <c r="AN92" s="138"/>
      <c r="AO92" s="69"/>
      <c r="AP92" s="71"/>
      <c r="AQ92" s="71"/>
      <c r="AR92" s="71"/>
      <c r="AS92" s="71"/>
      <c r="AT92" s="138"/>
      <c r="AU92" s="69"/>
      <c r="AV92" s="71"/>
      <c r="AW92" s="71"/>
      <c r="AX92" s="71"/>
      <c r="AY92" s="71"/>
      <c r="AZ92" s="138"/>
      <c r="BA92" s="69"/>
      <c r="BB92" s="71"/>
      <c r="BC92" s="71"/>
      <c r="BD92" s="71"/>
      <c r="BE92" s="71"/>
      <c r="BF92" s="138"/>
      <c r="BG92" s="69"/>
      <c r="BH92" s="71"/>
      <c r="BI92" s="71"/>
      <c r="BJ92" s="71"/>
      <c r="BK92" s="71"/>
      <c r="BL92" s="138"/>
      <c r="BM92" s="69"/>
      <c r="BN92" s="71"/>
      <c r="BO92" s="71"/>
      <c r="BP92" s="71"/>
      <c r="BQ92" s="71"/>
      <c r="BR92" s="138"/>
      <c r="BS92" s="69"/>
      <c r="BT92" s="71"/>
      <c r="BU92" s="71"/>
      <c r="BV92" s="71"/>
      <c r="BW92" s="71"/>
      <c r="BX92" s="138"/>
      <c r="BZ92" s="248">
        <v>6</v>
      </c>
      <c r="CA92" s="245">
        <v>6</v>
      </c>
      <c r="CB92" s="245">
        <v>3</v>
      </c>
      <c r="CC92" s="248">
        <f>+BR133</f>
        <v>0</v>
      </c>
      <c r="CD92" s="245">
        <v>6</v>
      </c>
      <c r="CE92" s="246">
        <v>1.5972222222222221E-2</v>
      </c>
      <c r="CF92" s="149"/>
      <c r="CG92" s="149"/>
      <c r="CH92" s="149"/>
    </row>
    <row r="93" spans="1:86">
      <c r="A93" s="71">
        <v>89</v>
      </c>
      <c r="B93" s="241" t="s">
        <v>26</v>
      </c>
      <c r="C93" s="241" t="s">
        <v>33</v>
      </c>
      <c r="D93" s="15" t="s">
        <v>34</v>
      </c>
      <c r="E93" s="69"/>
      <c r="F93" s="71"/>
      <c r="G93" s="71"/>
      <c r="H93" s="71"/>
      <c r="I93" s="71"/>
      <c r="J93" s="138"/>
      <c r="K93" s="69"/>
      <c r="L93" s="71"/>
      <c r="M93" s="71"/>
      <c r="N93" s="71"/>
      <c r="O93" s="71"/>
      <c r="P93" s="138"/>
      <c r="Q93" s="69"/>
      <c r="R93" s="71"/>
      <c r="S93" s="71"/>
      <c r="T93" s="71"/>
      <c r="U93" s="71"/>
      <c r="V93" s="138"/>
      <c r="W93" s="95"/>
      <c r="X93" s="71"/>
      <c r="Y93" s="71"/>
      <c r="Z93" s="71"/>
      <c r="AA93" s="71"/>
      <c r="AB93" s="138"/>
      <c r="AC93" s="95"/>
      <c r="AD93" s="71"/>
      <c r="AE93" s="71"/>
      <c r="AF93" s="71"/>
      <c r="AG93" s="71"/>
      <c r="AH93" s="138"/>
      <c r="AI93" s="95"/>
      <c r="AJ93" s="71"/>
      <c r="AK93" s="71"/>
      <c r="AL93" s="71"/>
      <c r="AM93" s="71"/>
      <c r="AN93" s="138"/>
      <c r="AO93" s="69"/>
      <c r="AP93" s="71"/>
      <c r="AQ93" s="71"/>
      <c r="AR93" s="71"/>
      <c r="AS93" s="71"/>
      <c r="AT93" s="138"/>
      <c r="AU93" s="69"/>
      <c r="AV93" s="71"/>
      <c r="AW93" s="71"/>
      <c r="AX93" s="71"/>
      <c r="AY93" s="71"/>
      <c r="AZ93" s="138"/>
      <c r="BA93" s="69"/>
      <c r="BB93" s="71"/>
      <c r="BC93" s="71"/>
      <c r="BD93" s="71"/>
      <c r="BE93" s="71"/>
      <c r="BF93" s="138"/>
      <c r="BG93" s="69"/>
      <c r="BH93" s="71"/>
      <c r="BI93" s="71"/>
      <c r="BJ93" s="71"/>
      <c r="BK93" s="71"/>
      <c r="BL93" s="138"/>
      <c r="BM93" s="69"/>
      <c r="BN93" s="71"/>
      <c r="BO93" s="71"/>
      <c r="BP93" s="71"/>
      <c r="BQ93" s="71"/>
      <c r="BR93" s="138"/>
      <c r="BS93" s="69"/>
      <c r="BT93" s="71"/>
      <c r="BU93" s="71"/>
      <c r="BV93" s="71"/>
      <c r="BW93" s="71"/>
      <c r="BX93" s="138"/>
      <c r="BZ93" s="244">
        <v>3</v>
      </c>
      <c r="CA93" s="245">
        <v>6</v>
      </c>
      <c r="CB93" s="245">
        <v>6.5</v>
      </c>
      <c r="CC93" s="244">
        <f>+BR103</f>
        <v>0</v>
      </c>
      <c r="CD93" s="245">
        <v>6</v>
      </c>
      <c r="CE93" s="246">
        <v>1.6666666666666666E-2</v>
      </c>
      <c r="CF93" s="149"/>
      <c r="CG93" s="149"/>
      <c r="CH93" s="149"/>
    </row>
    <row r="94" spans="1:86">
      <c r="CF94" s="149"/>
      <c r="CG94" s="149"/>
      <c r="CH94" s="149"/>
    </row>
    <row r="95" spans="1:86">
      <c r="CF95" s="149"/>
      <c r="CG95" s="149"/>
      <c r="CH95" s="149"/>
    </row>
    <row r="96" spans="1:86">
      <c r="CF96" s="149"/>
      <c r="CG96" s="149"/>
      <c r="CH96" s="149"/>
    </row>
    <row r="97" spans="84:86">
      <c r="CF97" s="149"/>
      <c r="CG97" s="149"/>
      <c r="CH97" s="149"/>
    </row>
    <row r="98" spans="84:86">
      <c r="CF98" s="149"/>
      <c r="CG98" s="149"/>
      <c r="CH98" s="149"/>
    </row>
    <row r="99" spans="84:86">
      <c r="CF99" s="149"/>
      <c r="CG99" s="149"/>
      <c r="CH99" s="149"/>
    </row>
    <row r="100" spans="84:86">
      <c r="CF100" s="149"/>
      <c r="CG100" s="149"/>
      <c r="CH100" s="149"/>
    </row>
  </sheetData>
  <mergeCells count="14">
    <mergeCell ref="BZ3:CE3"/>
    <mergeCell ref="B4:C4"/>
    <mergeCell ref="AO3:AT3"/>
    <mergeCell ref="AU3:AZ3"/>
    <mergeCell ref="BA3:BF3"/>
    <mergeCell ref="BG3:BL3"/>
    <mergeCell ref="BM3:BR3"/>
    <mergeCell ref="BS3:BX3"/>
    <mergeCell ref="E3:J3"/>
    <mergeCell ref="K3:P3"/>
    <mergeCell ref="Q3:V3"/>
    <mergeCell ref="W3:AB3"/>
    <mergeCell ref="AC3:AH3"/>
    <mergeCell ref="AI3:AN3"/>
  </mergeCells>
  <conditionalFormatting sqref="CD1:CD3 CD5:CD93 CD95:CD65536">
    <cfRule type="cellIs" dxfId="0" priority="2" stopIfTrue="1" operator="greaterThan">
      <formula>6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6B937-DED6-4A6F-A529-DBFBACCB1114}">
  <sheetPr codeName="Sheet4"/>
  <dimension ref="A1:R45"/>
  <sheetViews>
    <sheetView workbookViewId="0">
      <selection activeCell="F6" sqref="F6"/>
    </sheetView>
  </sheetViews>
  <sheetFormatPr defaultColWidth="7.453125" defaultRowHeight="20"/>
  <cols>
    <col min="1" max="1" width="9.36328125" style="218" customWidth="1"/>
    <col min="2" max="6" width="7.453125" style="219"/>
    <col min="7" max="7" width="9.08984375" style="219" customWidth="1"/>
    <col min="8" max="12" width="7.453125" style="1"/>
    <col min="13" max="18" width="8.7265625" style="219" customWidth="1"/>
    <col min="19" max="256" width="7.453125" style="1"/>
    <col min="257" max="257" width="8.7265625" style="1" bestFit="1" customWidth="1"/>
    <col min="258" max="262" width="7.453125" style="1"/>
    <col min="263" max="263" width="9.08984375" style="1" customWidth="1"/>
    <col min="264" max="268" width="7.453125" style="1"/>
    <col min="269" max="274" width="8.7265625" style="1" customWidth="1"/>
    <col min="275" max="512" width="7.453125" style="1"/>
    <col min="513" max="513" width="8.7265625" style="1" bestFit="1" customWidth="1"/>
    <col min="514" max="518" width="7.453125" style="1"/>
    <col min="519" max="519" width="9.08984375" style="1" customWidth="1"/>
    <col min="520" max="524" width="7.453125" style="1"/>
    <col min="525" max="530" width="8.7265625" style="1" customWidth="1"/>
    <col min="531" max="768" width="7.453125" style="1"/>
    <col min="769" max="769" width="8.7265625" style="1" bestFit="1" customWidth="1"/>
    <col min="770" max="774" width="7.453125" style="1"/>
    <col min="775" max="775" width="9.08984375" style="1" customWidth="1"/>
    <col min="776" max="780" width="7.453125" style="1"/>
    <col min="781" max="786" width="8.7265625" style="1" customWidth="1"/>
    <col min="787" max="1024" width="7.453125" style="1"/>
    <col min="1025" max="1025" width="8.7265625" style="1" bestFit="1" customWidth="1"/>
    <col min="1026" max="1030" width="7.453125" style="1"/>
    <col min="1031" max="1031" width="9.08984375" style="1" customWidth="1"/>
    <col min="1032" max="1036" width="7.453125" style="1"/>
    <col min="1037" max="1042" width="8.7265625" style="1" customWidth="1"/>
    <col min="1043" max="1280" width="7.453125" style="1"/>
    <col min="1281" max="1281" width="8.7265625" style="1" bestFit="1" customWidth="1"/>
    <col min="1282" max="1286" width="7.453125" style="1"/>
    <col min="1287" max="1287" width="9.08984375" style="1" customWidth="1"/>
    <col min="1288" max="1292" width="7.453125" style="1"/>
    <col min="1293" max="1298" width="8.7265625" style="1" customWidth="1"/>
    <col min="1299" max="1536" width="7.453125" style="1"/>
    <col min="1537" max="1537" width="8.7265625" style="1" bestFit="1" customWidth="1"/>
    <col min="1538" max="1542" width="7.453125" style="1"/>
    <col min="1543" max="1543" width="9.08984375" style="1" customWidth="1"/>
    <col min="1544" max="1548" width="7.453125" style="1"/>
    <col min="1549" max="1554" width="8.7265625" style="1" customWidth="1"/>
    <col min="1555" max="1792" width="7.453125" style="1"/>
    <col min="1793" max="1793" width="8.7265625" style="1" bestFit="1" customWidth="1"/>
    <col min="1794" max="1798" width="7.453125" style="1"/>
    <col min="1799" max="1799" width="9.08984375" style="1" customWidth="1"/>
    <col min="1800" max="1804" width="7.453125" style="1"/>
    <col min="1805" max="1810" width="8.7265625" style="1" customWidth="1"/>
    <col min="1811" max="2048" width="7.453125" style="1"/>
    <col min="2049" max="2049" width="8.7265625" style="1" bestFit="1" customWidth="1"/>
    <col min="2050" max="2054" width="7.453125" style="1"/>
    <col min="2055" max="2055" width="9.08984375" style="1" customWidth="1"/>
    <col min="2056" max="2060" width="7.453125" style="1"/>
    <col min="2061" max="2066" width="8.7265625" style="1" customWidth="1"/>
    <col min="2067" max="2304" width="7.453125" style="1"/>
    <col min="2305" max="2305" width="8.7265625" style="1" bestFit="1" customWidth="1"/>
    <col min="2306" max="2310" width="7.453125" style="1"/>
    <col min="2311" max="2311" width="9.08984375" style="1" customWidth="1"/>
    <col min="2312" max="2316" width="7.453125" style="1"/>
    <col min="2317" max="2322" width="8.7265625" style="1" customWidth="1"/>
    <col min="2323" max="2560" width="7.453125" style="1"/>
    <col min="2561" max="2561" width="8.7265625" style="1" bestFit="1" customWidth="1"/>
    <col min="2562" max="2566" width="7.453125" style="1"/>
    <col min="2567" max="2567" width="9.08984375" style="1" customWidth="1"/>
    <col min="2568" max="2572" width="7.453125" style="1"/>
    <col min="2573" max="2578" width="8.7265625" style="1" customWidth="1"/>
    <col min="2579" max="2816" width="7.453125" style="1"/>
    <col min="2817" max="2817" width="8.7265625" style="1" bestFit="1" customWidth="1"/>
    <col min="2818" max="2822" width="7.453125" style="1"/>
    <col min="2823" max="2823" width="9.08984375" style="1" customWidth="1"/>
    <col min="2824" max="2828" width="7.453125" style="1"/>
    <col min="2829" max="2834" width="8.7265625" style="1" customWidth="1"/>
    <col min="2835" max="3072" width="7.453125" style="1"/>
    <col min="3073" max="3073" width="8.7265625" style="1" bestFit="1" customWidth="1"/>
    <col min="3074" max="3078" width="7.453125" style="1"/>
    <col min="3079" max="3079" width="9.08984375" style="1" customWidth="1"/>
    <col min="3080" max="3084" width="7.453125" style="1"/>
    <col min="3085" max="3090" width="8.7265625" style="1" customWidth="1"/>
    <col min="3091" max="3328" width="7.453125" style="1"/>
    <col min="3329" max="3329" width="8.7265625" style="1" bestFit="1" customWidth="1"/>
    <col min="3330" max="3334" width="7.453125" style="1"/>
    <col min="3335" max="3335" width="9.08984375" style="1" customWidth="1"/>
    <col min="3336" max="3340" width="7.453125" style="1"/>
    <col min="3341" max="3346" width="8.7265625" style="1" customWidth="1"/>
    <col min="3347" max="3584" width="7.453125" style="1"/>
    <col min="3585" max="3585" width="8.7265625" style="1" bestFit="1" customWidth="1"/>
    <col min="3586" max="3590" width="7.453125" style="1"/>
    <col min="3591" max="3591" width="9.08984375" style="1" customWidth="1"/>
    <col min="3592" max="3596" width="7.453125" style="1"/>
    <col min="3597" max="3602" width="8.7265625" style="1" customWidth="1"/>
    <col min="3603" max="3840" width="7.453125" style="1"/>
    <col min="3841" max="3841" width="8.7265625" style="1" bestFit="1" customWidth="1"/>
    <col min="3842" max="3846" width="7.453125" style="1"/>
    <col min="3847" max="3847" width="9.08984375" style="1" customWidth="1"/>
    <col min="3848" max="3852" width="7.453125" style="1"/>
    <col min="3853" max="3858" width="8.7265625" style="1" customWidth="1"/>
    <col min="3859" max="4096" width="7.453125" style="1"/>
    <col min="4097" max="4097" width="8.7265625" style="1" bestFit="1" customWidth="1"/>
    <col min="4098" max="4102" width="7.453125" style="1"/>
    <col min="4103" max="4103" width="9.08984375" style="1" customWidth="1"/>
    <col min="4104" max="4108" width="7.453125" style="1"/>
    <col min="4109" max="4114" width="8.7265625" style="1" customWidth="1"/>
    <col min="4115" max="4352" width="7.453125" style="1"/>
    <col min="4353" max="4353" width="8.7265625" style="1" bestFit="1" customWidth="1"/>
    <col min="4354" max="4358" width="7.453125" style="1"/>
    <col min="4359" max="4359" width="9.08984375" style="1" customWidth="1"/>
    <col min="4360" max="4364" width="7.453125" style="1"/>
    <col min="4365" max="4370" width="8.7265625" style="1" customWidth="1"/>
    <col min="4371" max="4608" width="7.453125" style="1"/>
    <col min="4609" max="4609" width="8.7265625" style="1" bestFit="1" customWidth="1"/>
    <col min="4610" max="4614" width="7.453125" style="1"/>
    <col min="4615" max="4615" width="9.08984375" style="1" customWidth="1"/>
    <col min="4616" max="4620" width="7.453125" style="1"/>
    <col min="4621" max="4626" width="8.7265625" style="1" customWidth="1"/>
    <col min="4627" max="4864" width="7.453125" style="1"/>
    <col min="4865" max="4865" width="8.7265625" style="1" bestFit="1" customWidth="1"/>
    <col min="4866" max="4870" width="7.453125" style="1"/>
    <col min="4871" max="4871" width="9.08984375" style="1" customWidth="1"/>
    <col min="4872" max="4876" width="7.453125" style="1"/>
    <col min="4877" max="4882" width="8.7265625" style="1" customWidth="1"/>
    <col min="4883" max="5120" width="7.453125" style="1"/>
    <col min="5121" max="5121" width="8.7265625" style="1" bestFit="1" customWidth="1"/>
    <col min="5122" max="5126" width="7.453125" style="1"/>
    <col min="5127" max="5127" width="9.08984375" style="1" customWidth="1"/>
    <col min="5128" max="5132" width="7.453125" style="1"/>
    <col min="5133" max="5138" width="8.7265625" style="1" customWidth="1"/>
    <col min="5139" max="5376" width="7.453125" style="1"/>
    <col min="5377" max="5377" width="8.7265625" style="1" bestFit="1" customWidth="1"/>
    <col min="5378" max="5382" width="7.453125" style="1"/>
    <col min="5383" max="5383" width="9.08984375" style="1" customWidth="1"/>
    <col min="5384" max="5388" width="7.453125" style="1"/>
    <col min="5389" max="5394" width="8.7265625" style="1" customWidth="1"/>
    <col min="5395" max="5632" width="7.453125" style="1"/>
    <col min="5633" max="5633" width="8.7265625" style="1" bestFit="1" customWidth="1"/>
    <col min="5634" max="5638" width="7.453125" style="1"/>
    <col min="5639" max="5639" width="9.08984375" style="1" customWidth="1"/>
    <col min="5640" max="5644" width="7.453125" style="1"/>
    <col min="5645" max="5650" width="8.7265625" style="1" customWidth="1"/>
    <col min="5651" max="5888" width="7.453125" style="1"/>
    <col min="5889" max="5889" width="8.7265625" style="1" bestFit="1" customWidth="1"/>
    <col min="5890" max="5894" width="7.453125" style="1"/>
    <col min="5895" max="5895" width="9.08984375" style="1" customWidth="1"/>
    <col min="5896" max="5900" width="7.453125" style="1"/>
    <col min="5901" max="5906" width="8.7265625" style="1" customWidth="1"/>
    <col min="5907" max="6144" width="7.453125" style="1"/>
    <col min="6145" max="6145" width="8.7265625" style="1" bestFit="1" customWidth="1"/>
    <col min="6146" max="6150" width="7.453125" style="1"/>
    <col min="6151" max="6151" width="9.08984375" style="1" customWidth="1"/>
    <col min="6152" max="6156" width="7.453125" style="1"/>
    <col min="6157" max="6162" width="8.7265625" style="1" customWidth="1"/>
    <col min="6163" max="6400" width="7.453125" style="1"/>
    <col min="6401" max="6401" width="8.7265625" style="1" bestFit="1" customWidth="1"/>
    <col min="6402" max="6406" width="7.453125" style="1"/>
    <col min="6407" max="6407" width="9.08984375" style="1" customWidth="1"/>
    <col min="6408" max="6412" width="7.453125" style="1"/>
    <col min="6413" max="6418" width="8.7265625" style="1" customWidth="1"/>
    <col min="6419" max="6656" width="7.453125" style="1"/>
    <col min="6657" max="6657" width="8.7265625" style="1" bestFit="1" customWidth="1"/>
    <col min="6658" max="6662" width="7.453125" style="1"/>
    <col min="6663" max="6663" width="9.08984375" style="1" customWidth="1"/>
    <col min="6664" max="6668" width="7.453125" style="1"/>
    <col min="6669" max="6674" width="8.7265625" style="1" customWidth="1"/>
    <col min="6675" max="6912" width="7.453125" style="1"/>
    <col min="6913" max="6913" width="8.7265625" style="1" bestFit="1" customWidth="1"/>
    <col min="6914" max="6918" width="7.453125" style="1"/>
    <col min="6919" max="6919" width="9.08984375" style="1" customWidth="1"/>
    <col min="6920" max="6924" width="7.453125" style="1"/>
    <col min="6925" max="6930" width="8.7265625" style="1" customWidth="1"/>
    <col min="6931" max="7168" width="7.453125" style="1"/>
    <col min="7169" max="7169" width="8.7265625" style="1" bestFit="1" customWidth="1"/>
    <col min="7170" max="7174" width="7.453125" style="1"/>
    <col min="7175" max="7175" width="9.08984375" style="1" customWidth="1"/>
    <col min="7176" max="7180" width="7.453125" style="1"/>
    <col min="7181" max="7186" width="8.7265625" style="1" customWidth="1"/>
    <col min="7187" max="7424" width="7.453125" style="1"/>
    <col min="7425" max="7425" width="8.7265625" style="1" bestFit="1" customWidth="1"/>
    <col min="7426" max="7430" width="7.453125" style="1"/>
    <col min="7431" max="7431" width="9.08984375" style="1" customWidth="1"/>
    <col min="7432" max="7436" width="7.453125" style="1"/>
    <col min="7437" max="7442" width="8.7265625" style="1" customWidth="1"/>
    <col min="7443" max="7680" width="7.453125" style="1"/>
    <col min="7681" max="7681" width="8.7265625" style="1" bestFit="1" customWidth="1"/>
    <col min="7682" max="7686" width="7.453125" style="1"/>
    <col min="7687" max="7687" width="9.08984375" style="1" customWidth="1"/>
    <col min="7688" max="7692" width="7.453125" style="1"/>
    <col min="7693" max="7698" width="8.7265625" style="1" customWidth="1"/>
    <col min="7699" max="7936" width="7.453125" style="1"/>
    <col min="7937" max="7937" width="8.7265625" style="1" bestFit="1" customWidth="1"/>
    <col min="7938" max="7942" width="7.453125" style="1"/>
    <col min="7943" max="7943" width="9.08984375" style="1" customWidth="1"/>
    <col min="7944" max="7948" width="7.453125" style="1"/>
    <col min="7949" max="7954" width="8.7265625" style="1" customWidth="1"/>
    <col min="7955" max="8192" width="7.453125" style="1"/>
    <col min="8193" max="8193" width="8.7265625" style="1" bestFit="1" customWidth="1"/>
    <col min="8194" max="8198" width="7.453125" style="1"/>
    <col min="8199" max="8199" width="9.08984375" style="1" customWidth="1"/>
    <col min="8200" max="8204" width="7.453125" style="1"/>
    <col min="8205" max="8210" width="8.7265625" style="1" customWidth="1"/>
    <col min="8211" max="8448" width="7.453125" style="1"/>
    <col min="8449" max="8449" width="8.7265625" style="1" bestFit="1" customWidth="1"/>
    <col min="8450" max="8454" width="7.453125" style="1"/>
    <col min="8455" max="8455" width="9.08984375" style="1" customWidth="1"/>
    <col min="8456" max="8460" width="7.453125" style="1"/>
    <col min="8461" max="8466" width="8.7265625" style="1" customWidth="1"/>
    <col min="8467" max="8704" width="7.453125" style="1"/>
    <col min="8705" max="8705" width="8.7265625" style="1" bestFit="1" customWidth="1"/>
    <col min="8706" max="8710" width="7.453125" style="1"/>
    <col min="8711" max="8711" width="9.08984375" style="1" customWidth="1"/>
    <col min="8712" max="8716" width="7.453125" style="1"/>
    <col min="8717" max="8722" width="8.7265625" style="1" customWidth="1"/>
    <col min="8723" max="8960" width="7.453125" style="1"/>
    <col min="8961" max="8961" width="8.7265625" style="1" bestFit="1" customWidth="1"/>
    <col min="8962" max="8966" width="7.453125" style="1"/>
    <col min="8967" max="8967" width="9.08984375" style="1" customWidth="1"/>
    <col min="8968" max="8972" width="7.453125" style="1"/>
    <col min="8973" max="8978" width="8.7265625" style="1" customWidth="1"/>
    <col min="8979" max="9216" width="7.453125" style="1"/>
    <col min="9217" max="9217" width="8.7265625" style="1" bestFit="1" customWidth="1"/>
    <col min="9218" max="9222" width="7.453125" style="1"/>
    <col min="9223" max="9223" width="9.08984375" style="1" customWidth="1"/>
    <col min="9224" max="9228" width="7.453125" style="1"/>
    <col min="9229" max="9234" width="8.7265625" style="1" customWidth="1"/>
    <col min="9235" max="9472" width="7.453125" style="1"/>
    <col min="9473" max="9473" width="8.7265625" style="1" bestFit="1" customWidth="1"/>
    <col min="9474" max="9478" width="7.453125" style="1"/>
    <col min="9479" max="9479" width="9.08984375" style="1" customWidth="1"/>
    <col min="9480" max="9484" width="7.453125" style="1"/>
    <col min="9485" max="9490" width="8.7265625" style="1" customWidth="1"/>
    <col min="9491" max="9728" width="7.453125" style="1"/>
    <col min="9729" max="9729" width="8.7265625" style="1" bestFit="1" customWidth="1"/>
    <col min="9730" max="9734" width="7.453125" style="1"/>
    <col min="9735" max="9735" width="9.08984375" style="1" customWidth="1"/>
    <col min="9736" max="9740" width="7.453125" style="1"/>
    <col min="9741" max="9746" width="8.7265625" style="1" customWidth="1"/>
    <col min="9747" max="9984" width="7.453125" style="1"/>
    <col min="9985" max="9985" width="8.7265625" style="1" bestFit="1" customWidth="1"/>
    <col min="9986" max="9990" width="7.453125" style="1"/>
    <col min="9991" max="9991" width="9.08984375" style="1" customWidth="1"/>
    <col min="9992" max="9996" width="7.453125" style="1"/>
    <col min="9997" max="10002" width="8.7265625" style="1" customWidth="1"/>
    <col min="10003" max="10240" width="7.453125" style="1"/>
    <col min="10241" max="10241" width="8.7265625" style="1" bestFit="1" customWidth="1"/>
    <col min="10242" max="10246" width="7.453125" style="1"/>
    <col min="10247" max="10247" width="9.08984375" style="1" customWidth="1"/>
    <col min="10248" max="10252" width="7.453125" style="1"/>
    <col min="10253" max="10258" width="8.7265625" style="1" customWidth="1"/>
    <col min="10259" max="10496" width="7.453125" style="1"/>
    <col min="10497" max="10497" width="8.7265625" style="1" bestFit="1" customWidth="1"/>
    <col min="10498" max="10502" width="7.453125" style="1"/>
    <col min="10503" max="10503" width="9.08984375" style="1" customWidth="1"/>
    <col min="10504" max="10508" width="7.453125" style="1"/>
    <col min="10509" max="10514" width="8.7265625" style="1" customWidth="1"/>
    <col min="10515" max="10752" width="7.453125" style="1"/>
    <col min="10753" max="10753" width="8.7265625" style="1" bestFit="1" customWidth="1"/>
    <col min="10754" max="10758" width="7.453125" style="1"/>
    <col min="10759" max="10759" width="9.08984375" style="1" customWidth="1"/>
    <col min="10760" max="10764" width="7.453125" style="1"/>
    <col min="10765" max="10770" width="8.7265625" style="1" customWidth="1"/>
    <col min="10771" max="11008" width="7.453125" style="1"/>
    <col min="11009" max="11009" width="8.7265625" style="1" bestFit="1" customWidth="1"/>
    <col min="11010" max="11014" width="7.453125" style="1"/>
    <col min="11015" max="11015" width="9.08984375" style="1" customWidth="1"/>
    <col min="11016" max="11020" width="7.453125" style="1"/>
    <col min="11021" max="11026" width="8.7265625" style="1" customWidth="1"/>
    <col min="11027" max="11264" width="7.453125" style="1"/>
    <col min="11265" max="11265" width="8.7265625" style="1" bestFit="1" customWidth="1"/>
    <col min="11266" max="11270" width="7.453125" style="1"/>
    <col min="11271" max="11271" width="9.08984375" style="1" customWidth="1"/>
    <col min="11272" max="11276" width="7.453125" style="1"/>
    <col min="11277" max="11282" width="8.7265625" style="1" customWidth="1"/>
    <col min="11283" max="11520" width="7.453125" style="1"/>
    <col min="11521" max="11521" width="8.7265625" style="1" bestFit="1" customWidth="1"/>
    <col min="11522" max="11526" width="7.453125" style="1"/>
    <col min="11527" max="11527" width="9.08984375" style="1" customWidth="1"/>
    <col min="11528" max="11532" width="7.453125" style="1"/>
    <col min="11533" max="11538" width="8.7265625" style="1" customWidth="1"/>
    <col min="11539" max="11776" width="7.453125" style="1"/>
    <col min="11777" max="11777" width="8.7265625" style="1" bestFit="1" customWidth="1"/>
    <col min="11778" max="11782" width="7.453125" style="1"/>
    <col min="11783" max="11783" width="9.08984375" style="1" customWidth="1"/>
    <col min="11784" max="11788" width="7.453125" style="1"/>
    <col min="11789" max="11794" width="8.7265625" style="1" customWidth="1"/>
    <col min="11795" max="12032" width="7.453125" style="1"/>
    <col min="12033" max="12033" width="8.7265625" style="1" bestFit="1" customWidth="1"/>
    <col min="12034" max="12038" width="7.453125" style="1"/>
    <col min="12039" max="12039" width="9.08984375" style="1" customWidth="1"/>
    <col min="12040" max="12044" width="7.453125" style="1"/>
    <col min="12045" max="12050" width="8.7265625" style="1" customWidth="1"/>
    <col min="12051" max="12288" width="7.453125" style="1"/>
    <col min="12289" max="12289" width="8.7265625" style="1" bestFit="1" customWidth="1"/>
    <col min="12290" max="12294" width="7.453125" style="1"/>
    <col min="12295" max="12295" width="9.08984375" style="1" customWidth="1"/>
    <col min="12296" max="12300" width="7.453125" style="1"/>
    <col min="12301" max="12306" width="8.7265625" style="1" customWidth="1"/>
    <col min="12307" max="12544" width="7.453125" style="1"/>
    <col min="12545" max="12545" width="8.7265625" style="1" bestFit="1" customWidth="1"/>
    <col min="12546" max="12550" width="7.453125" style="1"/>
    <col min="12551" max="12551" width="9.08984375" style="1" customWidth="1"/>
    <col min="12552" max="12556" width="7.453125" style="1"/>
    <col min="12557" max="12562" width="8.7265625" style="1" customWidth="1"/>
    <col min="12563" max="12800" width="7.453125" style="1"/>
    <col min="12801" max="12801" width="8.7265625" style="1" bestFit="1" customWidth="1"/>
    <col min="12802" max="12806" width="7.453125" style="1"/>
    <col min="12807" max="12807" width="9.08984375" style="1" customWidth="1"/>
    <col min="12808" max="12812" width="7.453125" style="1"/>
    <col min="12813" max="12818" width="8.7265625" style="1" customWidth="1"/>
    <col min="12819" max="13056" width="7.453125" style="1"/>
    <col min="13057" max="13057" width="8.7265625" style="1" bestFit="1" customWidth="1"/>
    <col min="13058" max="13062" width="7.453125" style="1"/>
    <col min="13063" max="13063" width="9.08984375" style="1" customWidth="1"/>
    <col min="13064" max="13068" width="7.453125" style="1"/>
    <col min="13069" max="13074" width="8.7265625" style="1" customWidth="1"/>
    <col min="13075" max="13312" width="7.453125" style="1"/>
    <col min="13313" max="13313" width="8.7265625" style="1" bestFit="1" customWidth="1"/>
    <col min="13314" max="13318" width="7.453125" style="1"/>
    <col min="13319" max="13319" width="9.08984375" style="1" customWidth="1"/>
    <col min="13320" max="13324" width="7.453125" style="1"/>
    <col min="13325" max="13330" width="8.7265625" style="1" customWidth="1"/>
    <col min="13331" max="13568" width="7.453125" style="1"/>
    <col min="13569" max="13569" width="8.7265625" style="1" bestFit="1" customWidth="1"/>
    <col min="13570" max="13574" width="7.453125" style="1"/>
    <col min="13575" max="13575" width="9.08984375" style="1" customWidth="1"/>
    <col min="13576" max="13580" width="7.453125" style="1"/>
    <col min="13581" max="13586" width="8.7265625" style="1" customWidth="1"/>
    <col min="13587" max="13824" width="7.453125" style="1"/>
    <col min="13825" max="13825" width="8.7265625" style="1" bestFit="1" customWidth="1"/>
    <col min="13826" max="13830" width="7.453125" style="1"/>
    <col min="13831" max="13831" width="9.08984375" style="1" customWidth="1"/>
    <col min="13832" max="13836" width="7.453125" style="1"/>
    <col min="13837" max="13842" width="8.7265625" style="1" customWidth="1"/>
    <col min="13843" max="14080" width="7.453125" style="1"/>
    <col min="14081" max="14081" width="8.7265625" style="1" bestFit="1" customWidth="1"/>
    <col min="14082" max="14086" width="7.453125" style="1"/>
    <col min="14087" max="14087" width="9.08984375" style="1" customWidth="1"/>
    <col min="14088" max="14092" width="7.453125" style="1"/>
    <col min="14093" max="14098" width="8.7265625" style="1" customWidth="1"/>
    <col min="14099" max="14336" width="7.453125" style="1"/>
    <col min="14337" max="14337" width="8.7265625" style="1" bestFit="1" customWidth="1"/>
    <col min="14338" max="14342" width="7.453125" style="1"/>
    <col min="14343" max="14343" width="9.08984375" style="1" customWidth="1"/>
    <col min="14344" max="14348" width="7.453125" style="1"/>
    <col min="14349" max="14354" width="8.7265625" style="1" customWidth="1"/>
    <col min="14355" max="14592" width="7.453125" style="1"/>
    <col min="14593" max="14593" width="8.7265625" style="1" bestFit="1" customWidth="1"/>
    <col min="14594" max="14598" width="7.453125" style="1"/>
    <col min="14599" max="14599" width="9.08984375" style="1" customWidth="1"/>
    <col min="14600" max="14604" width="7.453125" style="1"/>
    <col min="14605" max="14610" width="8.7265625" style="1" customWidth="1"/>
    <col min="14611" max="14848" width="7.453125" style="1"/>
    <col min="14849" max="14849" width="8.7265625" style="1" bestFit="1" customWidth="1"/>
    <col min="14850" max="14854" width="7.453125" style="1"/>
    <col min="14855" max="14855" width="9.08984375" style="1" customWidth="1"/>
    <col min="14856" max="14860" width="7.453125" style="1"/>
    <col min="14861" max="14866" width="8.7265625" style="1" customWidth="1"/>
    <col min="14867" max="15104" width="7.453125" style="1"/>
    <col min="15105" max="15105" width="8.7265625" style="1" bestFit="1" customWidth="1"/>
    <col min="15106" max="15110" width="7.453125" style="1"/>
    <col min="15111" max="15111" width="9.08984375" style="1" customWidth="1"/>
    <col min="15112" max="15116" width="7.453125" style="1"/>
    <col min="15117" max="15122" width="8.7265625" style="1" customWidth="1"/>
    <col min="15123" max="15360" width="7.453125" style="1"/>
    <col min="15361" max="15361" width="8.7265625" style="1" bestFit="1" customWidth="1"/>
    <col min="15362" max="15366" width="7.453125" style="1"/>
    <col min="15367" max="15367" width="9.08984375" style="1" customWidth="1"/>
    <col min="15368" max="15372" width="7.453125" style="1"/>
    <col min="15373" max="15378" width="8.7265625" style="1" customWidth="1"/>
    <col min="15379" max="15616" width="7.453125" style="1"/>
    <col min="15617" max="15617" width="8.7265625" style="1" bestFit="1" customWidth="1"/>
    <col min="15618" max="15622" width="7.453125" style="1"/>
    <col min="15623" max="15623" width="9.08984375" style="1" customWidth="1"/>
    <col min="15624" max="15628" width="7.453125" style="1"/>
    <col min="15629" max="15634" width="8.7265625" style="1" customWidth="1"/>
    <col min="15635" max="15872" width="7.453125" style="1"/>
    <col min="15873" max="15873" width="8.7265625" style="1" bestFit="1" customWidth="1"/>
    <col min="15874" max="15878" width="7.453125" style="1"/>
    <col min="15879" max="15879" width="9.08984375" style="1" customWidth="1"/>
    <col min="15880" max="15884" width="7.453125" style="1"/>
    <col min="15885" max="15890" width="8.7265625" style="1" customWidth="1"/>
    <col min="15891" max="16128" width="7.453125" style="1"/>
    <col min="16129" max="16129" width="8.7265625" style="1" bestFit="1" customWidth="1"/>
    <col min="16130" max="16134" width="7.453125" style="1"/>
    <col min="16135" max="16135" width="9.08984375" style="1" customWidth="1"/>
    <col min="16136" max="16140" width="7.453125" style="1"/>
    <col min="16141" max="16146" width="8.7265625" style="1" customWidth="1"/>
    <col min="16147" max="16384" width="7.453125" style="1"/>
  </cols>
  <sheetData>
    <row r="1" spans="1:18">
      <c r="M1" s="219" t="s">
        <v>243</v>
      </c>
    </row>
    <row r="2" spans="1:18">
      <c r="A2" s="220" t="s">
        <v>33</v>
      </c>
      <c r="B2" s="221" t="s">
        <v>201</v>
      </c>
      <c r="C2" s="221" t="s">
        <v>202</v>
      </c>
      <c r="D2" s="221" t="s">
        <v>200</v>
      </c>
      <c r="E2" s="221" t="s">
        <v>203</v>
      </c>
      <c r="F2" s="221" t="s">
        <v>204</v>
      </c>
      <c r="G2" s="221" t="s">
        <v>244</v>
      </c>
      <c r="L2" s="121" t="s">
        <v>2</v>
      </c>
      <c r="M2" s="221" t="s">
        <v>201</v>
      </c>
      <c r="N2" s="221" t="s">
        <v>202</v>
      </c>
      <c r="O2" s="221" t="s">
        <v>200</v>
      </c>
      <c r="P2" s="221" t="s">
        <v>203</v>
      </c>
      <c r="Q2" s="221" t="s">
        <v>204</v>
      </c>
      <c r="R2" s="221" t="s">
        <v>244</v>
      </c>
    </row>
    <row r="3" spans="1:18">
      <c r="A3" s="222">
        <v>40909</v>
      </c>
      <c r="B3" s="223">
        <v>1.5</v>
      </c>
      <c r="C3" s="223"/>
      <c r="D3" s="223">
        <v>1</v>
      </c>
      <c r="E3" s="223"/>
      <c r="F3" s="223"/>
      <c r="G3" s="224">
        <v>6.9444444444444447E-4</v>
      </c>
      <c r="L3" s="225" t="s">
        <v>33</v>
      </c>
      <c r="M3" s="223">
        <f>+B15</f>
        <v>6</v>
      </c>
      <c r="N3" s="223">
        <f>+C15</f>
        <v>6.5</v>
      </c>
      <c r="O3" s="223">
        <f>+D15</f>
        <v>3</v>
      </c>
      <c r="P3" s="223">
        <f>+E15</f>
        <v>0</v>
      </c>
      <c r="Q3" s="223">
        <f>+F15</f>
        <v>6</v>
      </c>
      <c r="R3" s="226">
        <v>1.6666666666666666E-2</v>
      </c>
    </row>
    <row r="4" spans="1:18">
      <c r="A4" s="227">
        <v>40940</v>
      </c>
      <c r="B4" s="228"/>
      <c r="C4" s="228"/>
      <c r="D4" s="228"/>
      <c r="E4" s="228"/>
      <c r="F4" s="228"/>
      <c r="G4" s="228"/>
      <c r="L4" s="229" t="s">
        <v>27</v>
      </c>
      <c r="M4" s="228">
        <f>+B30</f>
        <v>6</v>
      </c>
      <c r="N4" s="228">
        <f>+C30</f>
        <v>4</v>
      </c>
      <c r="O4" s="228">
        <f>+D30</f>
        <v>9.5</v>
      </c>
      <c r="P4" s="228">
        <f>+E30</f>
        <v>0</v>
      </c>
      <c r="Q4" s="228">
        <f>+F30</f>
        <v>6</v>
      </c>
      <c r="R4" s="226">
        <v>1.6666666666666666E-2</v>
      </c>
    </row>
    <row r="5" spans="1:18">
      <c r="A5" s="227">
        <v>40969</v>
      </c>
      <c r="B5" s="228">
        <v>0.5</v>
      </c>
      <c r="C5" s="228"/>
      <c r="D5" s="228"/>
      <c r="E5" s="228"/>
      <c r="F5" s="228"/>
      <c r="G5" s="228"/>
      <c r="L5" s="230" t="s">
        <v>31</v>
      </c>
      <c r="M5" s="231">
        <f>+B45</f>
        <v>6</v>
      </c>
      <c r="N5" s="231">
        <f>+C45</f>
        <v>3</v>
      </c>
      <c r="O5" s="231">
        <f>+D45</f>
        <v>6</v>
      </c>
      <c r="P5" s="231">
        <f>+E45</f>
        <v>0</v>
      </c>
      <c r="Q5" s="231">
        <f>+F45</f>
        <v>6</v>
      </c>
      <c r="R5" s="226">
        <v>1.5972222222222221E-2</v>
      </c>
    </row>
    <row r="6" spans="1:18">
      <c r="A6" s="227">
        <v>41000</v>
      </c>
      <c r="B6" s="228">
        <v>0.5</v>
      </c>
      <c r="C6" s="228"/>
      <c r="D6" s="228"/>
      <c r="E6" s="228"/>
      <c r="F6" s="228"/>
      <c r="G6" s="228"/>
    </row>
    <row r="7" spans="1:18">
      <c r="A7" s="227">
        <v>41030</v>
      </c>
      <c r="B7" s="228">
        <v>0.5</v>
      </c>
      <c r="C7" s="228"/>
      <c r="D7" s="228"/>
      <c r="E7" s="228"/>
      <c r="F7" s="228"/>
      <c r="G7" s="226"/>
    </row>
    <row r="8" spans="1:18">
      <c r="A8" s="227">
        <v>41061</v>
      </c>
      <c r="B8" s="228">
        <v>1</v>
      </c>
      <c r="C8" s="228"/>
      <c r="D8" s="228">
        <v>1</v>
      </c>
      <c r="E8" s="228"/>
      <c r="F8" s="228"/>
      <c r="G8" s="228"/>
    </row>
    <row r="9" spans="1:18">
      <c r="A9" s="227">
        <v>41091</v>
      </c>
      <c r="B9" s="228">
        <v>1</v>
      </c>
      <c r="C9" s="228"/>
      <c r="D9" s="228">
        <v>1</v>
      </c>
      <c r="E9" s="228"/>
      <c r="F9" s="228"/>
      <c r="G9" s="228"/>
    </row>
    <row r="10" spans="1:18">
      <c r="A10" s="227">
        <v>41122</v>
      </c>
      <c r="B10" s="228">
        <v>0.5</v>
      </c>
      <c r="C10" s="228"/>
      <c r="D10" s="228"/>
      <c r="E10" s="228"/>
      <c r="F10" s="228"/>
      <c r="G10" s="226">
        <v>6.9444444444444447E-4</v>
      </c>
    </row>
    <row r="11" spans="1:18">
      <c r="A11" s="227">
        <v>41153</v>
      </c>
      <c r="B11" s="228"/>
      <c r="C11" s="228"/>
      <c r="D11" s="228"/>
      <c r="E11" s="228"/>
      <c r="F11" s="228"/>
      <c r="G11" s="226">
        <v>1.3888888888888888E-2</v>
      </c>
    </row>
    <row r="12" spans="1:18">
      <c r="A12" s="227">
        <v>41183</v>
      </c>
      <c r="B12" s="228"/>
      <c r="C12" s="228"/>
      <c r="D12" s="228"/>
      <c r="E12" s="228"/>
      <c r="F12" s="228">
        <v>1</v>
      </c>
      <c r="G12" s="226">
        <v>6.9444444444444447E-4</v>
      </c>
    </row>
    <row r="13" spans="1:18">
      <c r="A13" s="227">
        <v>41214</v>
      </c>
      <c r="B13" s="228"/>
      <c r="C13" s="228"/>
      <c r="D13" s="228"/>
      <c r="E13" s="228"/>
      <c r="F13" s="228">
        <v>1</v>
      </c>
      <c r="G13" s="226">
        <v>6.9444444444444447E-4</v>
      </c>
    </row>
    <row r="14" spans="1:18">
      <c r="A14" s="232">
        <v>41244</v>
      </c>
      <c r="B14" s="231">
        <v>0.5</v>
      </c>
      <c r="C14" s="231">
        <v>6.5</v>
      </c>
      <c r="D14" s="231"/>
      <c r="E14" s="231"/>
      <c r="F14" s="231">
        <v>4</v>
      </c>
      <c r="G14" s="233"/>
    </row>
    <row r="15" spans="1:18" ht="20.5">
      <c r="A15" s="234" t="s">
        <v>245</v>
      </c>
      <c r="B15" s="235">
        <f>SUM(B3:B14)</f>
        <v>6</v>
      </c>
      <c r="C15" s="235">
        <f>SUM(C3:C14)</f>
        <v>6.5</v>
      </c>
      <c r="D15" s="235">
        <f>SUM(D3:D14)</f>
        <v>3</v>
      </c>
      <c r="E15" s="235">
        <f>SUM(E3:E14)</f>
        <v>0</v>
      </c>
      <c r="F15" s="235">
        <f>SUM(F3:F14)</f>
        <v>6</v>
      </c>
      <c r="G15" s="236">
        <v>1.6666666666666666E-2</v>
      </c>
    </row>
    <row r="17" spans="1:7">
      <c r="A17" s="220" t="s">
        <v>27</v>
      </c>
      <c r="B17" s="221" t="s">
        <v>201</v>
      </c>
      <c r="C17" s="221" t="s">
        <v>202</v>
      </c>
      <c r="D17" s="221" t="s">
        <v>200</v>
      </c>
      <c r="E17" s="221" t="s">
        <v>203</v>
      </c>
      <c r="F17" s="221" t="s">
        <v>204</v>
      </c>
      <c r="G17" s="221" t="s">
        <v>244</v>
      </c>
    </row>
    <row r="18" spans="1:7">
      <c r="A18" s="222">
        <v>40909</v>
      </c>
      <c r="B18" s="223">
        <v>0.5</v>
      </c>
      <c r="C18" s="223"/>
      <c r="D18" s="223">
        <v>1</v>
      </c>
      <c r="E18" s="223"/>
      <c r="F18" s="223"/>
      <c r="G18" s="224">
        <v>6.9444444444444447E-4</v>
      </c>
    </row>
    <row r="19" spans="1:7">
      <c r="A19" s="227">
        <v>40940</v>
      </c>
      <c r="B19" s="228">
        <v>1</v>
      </c>
      <c r="C19" s="228"/>
      <c r="D19" s="228"/>
      <c r="E19" s="228"/>
      <c r="F19" s="228"/>
      <c r="G19" s="228"/>
    </row>
    <row r="20" spans="1:7">
      <c r="A20" s="227">
        <v>40969</v>
      </c>
      <c r="B20" s="228">
        <v>2</v>
      </c>
      <c r="C20" s="228"/>
      <c r="D20" s="228"/>
      <c r="E20" s="228"/>
      <c r="F20" s="228"/>
      <c r="G20" s="226">
        <v>1.3888888888888889E-3</v>
      </c>
    </row>
    <row r="21" spans="1:7">
      <c r="A21" s="227">
        <v>41000</v>
      </c>
      <c r="B21" s="228">
        <v>2.5</v>
      </c>
      <c r="C21" s="228"/>
      <c r="D21" s="228">
        <v>0.5</v>
      </c>
      <c r="E21" s="228"/>
      <c r="F21" s="228">
        <v>2</v>
      </c>
      <c r="G21" s="226">
        <v>6.9444444444444447E-4</v>
      </c>
    </row>
    <row r="22" spans="1:7">
      <c r="A22" s="227">
        <v>41030</v>
      </c>
      <c r="B22" s="228"/>
      <c r="C22" s="228"/>
      <c r="D22" s="228">
        <v>1</v>
      </c>
      <c r="E22" s="228"/>
      <c r="F22" s="228">
        <v>3</v>
      </c>
      <c r="G22" s="228"/>
    </row>
    <row r="23" spans="1:7">
      <c r="A23" s="227">
        <v>41061</v>
      </c>
      <c r="B23" s="228"/>
      <c r="C23" s="228"/>
      <c r="D23" s="228">
        <v>1.5</v>
      </c>
      <c r="E23" s="228"/>
      <c r="F23" s="228"/>
      <c r="G23" s="228"/>
    </row>
    <row r="24" spans="1:7">
      <c r="A24" s="227">
        <v>41091</v>
      </c>
      <c r="B24" s="228"/>
      <c r="C24" s="228"/>
      <c r="D24" s="228"/>
      <c r="E24" s="228"/>
      <c r="F24" s="228">
        <v>1</v>
      </c>
      <c r="G24" s="228"/>
    </row>
    <row r="25" spans="1:7">
      <c r="A25" s="227">
        <v>41122</v>
      </c>
      <c r="B25" s="228"/>
      <c r="C25" s="228"/>
      <c r="D25" s="228">
        <v>2</v>
      </c>
      <c r="E25" s="228"/>
      <c r="F25" s="228"/>
      <c r="G25" s="228"/>
    </row>
    <row r="26" spans="1:7">
      <c r="A26" s="227">
        <v>41153</v>
      </c>
      <c r="B26" s="228"/>
      <c r="C26" s="228"/>
      <c r="D26" s="228">
        <v>1</v>
      </c>
      <c r="E26" s="228"/>
      <c r="F26" s="228"/>
      <c r="G26" s="226">
        <v>4.1666666666666666E-3</v>
      </c>
    </row>
    <row r="27" spans="1:7">
      <c r="A27" s="227">
        <v>41183</v>
      </c>
      <c r="B27" s="228"/>
      <c r="C27" s="228">
        <v>4</v>
      </c>
      <c r="D27" s="228"/>
      <c r="E27" s="228"/>
      <c r="F27" s="228"/>
      <c r="G27" s="226">
        <v>6.9444444444444447E-4</v>
      </c>
    </row>
    <row r="28" spans="1:7">
      <c r="A28" s="227">
        <v>41214</v>
      </c>
      <c r="B28" s="228"/>
      <c r="C28" s="228"/>
      <c r="D28" s="228">
        <v>1.5</v>
      </c>
      <c r="E28" s="228"/>
      <c r="F28" s="228"/>
      <c r="G28" s="226">
        <v>9.0277777777777769E-3</v>
      </c>
    </row>
    <row r="29" spans="1:7">
      <c r="A29" s="232">
        <v>41244</v>
      </c>
      <c r="B29" s="231"/>
      <c r="C29" s="231"/>
      <c r="D29" s="231">
        <v>1</v>
      </c>
      <c r="E29" s="231"/>
      <c r="F29" s="231"/>
      <c r="G29" s="233"/>
    </row>
    <row r="30" spans="1:7" ht="20.5">
      <c r="A30" s="234" t="s">
        <v>245</v>
      </c>
      <c r="B30" s="235">
        <f>SUM(B18:B29)</f>
        <v>6</v>
      </c>
      <c r="C30" s="235">
        <f>SUM(C18:C29)</f>
        <v>4</v>
      </c>
      <c r="D30" s="235">
        <f>SUM(D18:D29)</f>
        <v>9.5</v>
      </c>
      <c r="E30" s="235">
        <f>SUM(E18:E29)</f>
        <v>0</v>
      </c>
      <c r="F30" s="235">
        <f>SUM(F18:F29)</f>
        <v>6</v>
      </c>
      <c r="G30" s="236">
        <v>1.6666666666666666E-2</v>
      </c>
    </row>
    <row r="32" spans="1:7">
      <c r="A32" s="220" t="s">
        <v>31</v>
      </c>
      <c r="B32" s="221" t="s">
        <v>201</v>
      </c>
      <c r="C32" s="221" t="s">
        <v>202</v>
      </c>
      <c r="D32" s="221" t="s">
        <v>200</v>
      </c>
      <c r="E32" s="221" t="s">
        <v>203</v>
      </c>
      <c r="F32" s="221" t="s">
        <v>204</v>
      </c>
      <c r="G32" s="221" t="s">
        <v>244</v>
      </c>
    </row>
    <row r="33" spans="1:7">
      <c r="A33" s="222">
        <v>40909</v>
      </c>
      <c r="B33" s="223">
        <v>3.5</v>
      </c>
      <c r="C33" s="223"/>
      <c r="D33" s="223"/>
      <c r="E33" s="223"/>
      <c r="F33" s="223"/>
      <c r="G33" s="223"/>
    </row>
    <row r="34" spans="1:7">
      <c r="A34" s="227">
        <v>40940</v>
      </c>
      <c r="B34" s="228">
        <v>2</v>
      </c>
      <c r="C34" s="228"/>
      <c r="D34" s="228"/>
      <c r="E34" s="228"/>
      <c r="F34" s="228"/>
      <c r="G34" s="226">
        <v>8.3333333333333332E-3</v>
      </c>
    </row>
    <row r="35" spans="1:7">
      <c r="A35" s="227">
        <v>40969</v>
      </c>
      <c r="B35" s="228">
        <v>0.5</v>
      </c>
      <c r="C35" s="228"/>
      <c r="D35" s="228"/>
      <c r="E35" s="228"/>
      <c r="F35" s="228">
        <v>2</v>
      </c>
      <c r="G35" s="228"/>
    </row>
    <row r="36" spans="1:7">
      <c r="A36" s="227">
        <v>41000</v>
      </c>
      <c r="B36" s="228"/>
      <c r="C36" s="228"/>
      <c r="D36" s="228"/>
      <c r="E36" s="228"/>
      <c r="F36" s="228">
        <v>2</v>
      </c>
      <c r="G36" s="228"/>
    </row>
    <row r="37" spans="1:7">
      <c r="A37" s="227">
        <v>41030</v>
      </c>
      <c r="B37" s="228"/>
      <c r="C37" s="228"/>
      <c r="D37" s="228">
        <v>1</v>
      </c>
      <c r="E37" s="228"/>
      <c r="F37" s="237">
        <v>1</v>
      </c>
      <c r="G37" s="228"/>
    </row>
    <row r="38" spans="1:7">
      <c r="A38" s="227">
        <v>41061</v>
      </c>
      <c r="B38" s="228"/>
      <c r="C38" s="228"/>
      <c r="D38" s="228">
        <v>1</v>
      </c>
      <c r="E38" s="228"/>
      <c r="F38" s="237">
        <v>0.5</v>
      </c>
      <c r="G38" s="228"/>
    </row>
    <row r="39" spans="1:7">
      <c r="A39" s="227">
        <v>41091</v>
      </c>
      <c r="B39" s="228"/>
      <c r="C39" s="228"/>
      <c r="D39" s="228"/>
      <c r="E39" s="228"/>
      <c r="F39" s="228"/>
      <c r="G39" s="238">
        <v>4.8611111111111112E-3</v>
      </c>
    </row>
    <row r="40" spans="1:7">
      <c r="A40" s="227">
        <v>41122</v>
      </c>
      <c r="B40" s="228"/>
      <c r="C40" s="228"/>
      <c r="D40" s="228"/>
      <c r="E40" s="228"/>
      <c r="F40" s="228">
        <v>0.5</v>
      </c>
      <c r="G40" s="226">
        <v>2.0833333333333333E-3</v>
      </c>
    </row>
    <row r="41" spans="1:7">
      <c r="A41" s="227">
        <v>41153</v>
      </c>
      <c r="B41" s="228"/>
      <c r="C41" s="228">
        <v>1</v>
      </c>
      <c r="D41" s="228"/>
      <c r="E41" s="228"/>
      <c r="F41" s="228"/>
      <c r="G41" s="228"/>
    </row>
    <row r="42" spans="1:7">
      <c r="A42" s="227">
        <v>41183</v>
      </c>
      <c r="B42" s="228"/>
      <c r="C42" s="228">
        <v>2</v>
      </c>
      <c r="D42" s="228"/>
      <c r="E42" s="228"/>
      <c r="F42" s="228"/>
      <c r="G42" s="226">
        <v>6.9444444444444447E-4</v>
      </c>
    </row>
    <row r="43" spans="1:7">
      <c r="A43" s="227">
        <v>41214</v>
      </c>
      <c r="B43" s="228"/>
      <c r="C43" s="228"/>
      <c r="D43" s="228">
        <v>2</v>
      </c>
      <c r="E43" s="228"/>
      <c r="F43" s="228"/>
      <c r="G43" s="228"/>
    </row>
    <row r="44" spans="1:7">
      <c r="A44" s="232">
        <v>41244</v>
      </c>
      <c r="B44" s="231"/>
      <c r="C44" s="231"/>
      <c r="D44" s="231">
        <v>2</v>
      </c>
      <c r="E44" s="231"/>
      <c r="F44" s="231"/>
      <c r="G44" s="231"/>
    </row>
    <row r="45" spans="1:7" ht="20.5">
      <c r="A45" s="234" t="s">
        <v>245</v>
      </c>
      <c r="B45" s="235">
        <f>SUM(B33:B44)</f>
        <v>6</v>
      </c>
      <c r="C45" s="235">
        <f>SUM(C33:C44)</f>
        <v>3</v>
      </c>
      <c r="D45" s="235">
        <f>SUM(D33:D44)</f>
        <v>6</v>
      </c>
      <c r="E45" s="235">
        <f>SUM(E33:E44)</f>
        <v>0</v>
      </c>
      <c r="F45" s="235">
        <f>SUM(F33:F44)</f>
        <v>6</v>
      </c>
      <c r="G45" s="236">
        <v>1.5972222222222221E-2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ผลประเมินปี_68</vt:lpstr>
      <vt:lpstr>วันทำงานปี_68</vt:lpstr>
      <vt:lpstr>วันลาปี_68</vt:lpstr>
      <vt:lpstr>วันลาเงินเดือน_68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Jirakrit Yodvanich</dc:creator>
  <cp:lastModifiedBy>Jirakrit Yodvanich</cp:lastModifiedBy>
  <cp:lastPrinted>2025-03-17T14:16:39Z</cp:lastPrinted>
  <dcterms:created xsi:type="dcterms:W3CDTF">2025-03-11T18:03:16Z</dcterms:created>
  <dcterms:modified xsi:type="dcterms:W3CDTF">2026-03-20T14:10:31Z</dcterms:modified>
</cp:coreProperties>
</file>